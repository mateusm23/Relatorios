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nuscapital-my.sharepoint.com/personal/mateus_monteiro_trinusco_com_br/Documents/Área de Trabalho/TEMPORARIO/SEMANAL - ENTREGA/Relatorios/templates/"/>
    </mc:Choice>
  </mc:AlternateContent>
  <xr:revisionPtr revIDLastSave="85" documentId="11_C7687B5054A33544D9B01B6F03B42F07F57BE01D" xr6:coauthVersionLast="47" xr6:coauthVersionMax="47" xr10:uidLastSave="{1E9BBD8D-2812-48DC-A346-7BC2B2B64C8D}"/>
  <bookViews>
    <workbookView xWindow="-120" yWindow="-120" windowWidth="29040" windowHeight="15720" activeTab="7" xr2:uid="{00000000-000D-0000-FFFF-FFFF00000000}"/>
  </bookViews>
  <sheets>
    <sheet name="CONFIG" sheetId="1" r:id="rId1"/>
    <sheet name="CAPA" sheetId="2" r:id="rId2"/>
    <sheet name="UNIDADES" sheetId="3" r:id="rId3"/>
    <sheet name="VISTORIAS" sheetId="4" r:id="rId4"/>
    <sheet name="DELIBERAÇÕES" sheetId="5" r:id="rId5"/>
    <sheet name="MFO" sheetId="6" r:id="rId6"/>
    <sheet name="PARECER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F6" i="4"/>
  <c r="K7" i="6"/>
  <c r="G7" i="6"/>
  <c r="K6" i="6"/>
  <c r="G6" i="6"/>
  <c r="K5" i="6"/>
  <c r="G5" i="6"/>
  <c r="K4" i="6"/>
  <c r="G4" i="6"/>
  <c r="F6" i="5"/>
  <c r="F5" i="5"/>
  <c r="F4" i="5"/>
  <c r="B13" i="2"/>
  <c r="B12" i="2"/>
  <c r="B10" i="2"/>
  <c r="B9" i="2"/>
  <c r="E6" i="8"/>
  <c r="E5" i="8"/>
  <c r="E4" i="8"/>
  <c r="L7" i="6" l="1"/>
  <c r="N7" i="6"/>
  <c r="N4" i="6"/>
  <c r="E4" i="4"/>
  <c r="F4" i="4"/>
  <c r="F5" i="4"/>
  <c r="E5" i="4"/>
  <c r="L6" i="6"/>
  <c r="M6" i="6" s="1"/>
  <c r="H6" i="6"/>
  <c r="N5" i="6"/>
  <c r="O5" i="6" s="1"/>
  <c r="L5" i="6"/>
  <c r="M5" i="6" s="1"/>
  <c r="H5" i="6"/>
  <c r="I6" i="6"/>
  <c r="N6" i="6"/>
  <c r="O6" i="6" s="1"/>
  <c r="I5" i="6"/>
  <c r="I7" i="6"/>
  <c r="H7" i="6"/>
  <c r="L4" i="6"/>
  <c r="M4" i="6" s="1"/>
  <c r="I4" i="6"/>
  <c r="H4" i="6"/>
  <c r="B14" i="2"/>
  <c r="M7" i="6" l="1"/>
  <c r="O7" i="6"/>
  <c r="O4" i="6"/>
</calcChain>
</file>

<file path=xl/sharedStrings.xml><?xml version="1.0" encoding="utf-8"?>
<sst xmlns="http://schemas.openxmlformats.org/spreadsheetml/2006/main" count="92" uniqueCount="79">
  <si>
    <t>CHECKLIST DE ÁREA COMUM</t>
  </si>
  <si>
    <t>Registre cada item de acompanhamento por área/local. DELTA é calculado automaticamente (dias entre 1º Prazo e Prazo Atual). STATUS = selecione da lista.</t>
  </si>
  <si>
    <t>ÁREA / LOCAL</t>
  </si>
  <si>
    <t>ITEM</t>
  </si>
  <si>
    <t>1º PRAZO</t>
  </si>
  <si>
    <t>PRAZO ATUAL</t>
  </si>
  <si>
    <t>DELTA</t>
  </si>
  <si>
    <t>STATUS</t>
  </si>
  <si>
    <t>RESPONSÁVEL</t>
  </si>
  <si>
    <t>OBSERVAÇÃO</t>
  </si>
  <si>
    <t>OCULTAR</t>
  </si>
  <si>
    <t>CONFIGURAÇÕES — CATEGORIAS DE UNIDADES</t>
  </si>
  <si>
    <t xml:space="preserve">  Defina até 8 categorias. Serão as opções disponíveis na aba UNIDADES.</t>
  </si>
  <si>
    <t>CATEGORIA</t>
  </si>
  <si>
    <t>Aprovou Vistoria</t>
  </si>
  <si>
    <t>Liberado</t>
  </si>
  <si>
    <t>Estoque</t>
  </si>
  <si>
    <t>Restrição</t>
  </si>
  <si>
    <t>CAPA — RELATÓRIO SEMANAL DE OBRA</t>
  </si>
  <si>
    <t xml:space="preserve">  IDENTIFICAÇÃO DA OBRA</t>
  </si>
  <si>
    <t>OBRA</t>
  </si>
  <si>
    <t>CONSTRUTORA</t>
  </si>
  <si>
    <t>GERENCIADORA</t>
  </si>
  <si>
    <t>ENGENHEIRO</t>
  </si>
  <si>
    <t xml:space="preserve">  PERÍODO DO RELATÓRIO</t>
  </si>
  <si>
    <t>DATA INÍCIO</t>
  </si>
  <si>
    <t>DATA FIM</t>
  </si>
  <si>
    <t>SEMANA</t>
  </si>
  <si>
    <t xml:space="preserve">  AVANÇO DE ENTREGAS</t>
  </si>
  <si>
    <t>TOTAL APROVADAS</t>
  </si>
  <si>
    <t>TOTAL DISPONÍVEIS</t>
  </si>
  <si>
    <t>AVANÇO DE ENTREGAS</t>
  </si>
  <si>
    <t>MAPA DE UNIDADES</t>
  </si>
  <si>
    <t>Ex: Bloco 1 / Torre A</t>
  </si>
  <si>
    <t>Ex: 1  (Repetir P/ Cada Pav.)</t>
  </si>
  <si>
    <t>Ex: 01  (Só O Nº Final)</t>
  </si>
  <si>
    <t>Selecione Da Lista ▼</t>
  </si>
  <si>
    <t>BLOCO</t>
  </si>
  <si>
    <t>PAVIMENTO</t>
  </si>
  <si>
    <t>UNIDADE</t>
  </si>
  <si>
    <t>REGISTRO DE VISTORIAS</t>
  </si>
  <si>
    <t>Ex: Bloco 1 - 01</t>
  </si>
  <si>
    <t>Ex: 15/01/2025</t>
  </si>
  <si>
    <t>Selecione da lista ▼</t>
  </si>
  <si>
    <t>Preencher se Reprovada</t>
  </si>
  <si>
    <t>Automático</t>
  </si>
  <si>
    <t>DATA VISTORIA</t>
  </si>
  <si>
    <t>MOTIVO REPROVAÇÃO</t>
  </si>
  <si>
    <t>SEMANA Nº</t>
  </si>
  <si>
    <t>MÊS</t>
  </si>
  <si>
    <t>REGISTRO DE DELIBERAÇÕES</t>
  </si>
  <si>
    <t>Texto Livre</t>
  </si>
  <si>
    <t>Descrição Da Demanda</t>
  </si>
  <si>
    <t>Ex: João Silva</t>
  </si>
  <si>
    <t>DATA CADASTRO</t>
  </si>
  <si>
    <t>TIPO</t>
  </si>
  <si>
    <t>DESCRIÇÃO</t>
  </si>
  <si>
    <t>DELTA DIAS</t>
  </si>
  <si>
    <t>Monitoramento Financeiro de Obra. Preencha os campos em branco. Campos em azul claro são calculados automaticamente. Valores em R$.</t>
  </si>
  <si>
    <t>VALOR ORÇADO</t>
  </si>
  <si>
    <t>VALOR ATUALIZADO</t>
  </si>
  <si>
    <t>PAGO</t>
  </si>
  <si>
    <t>A PAGAR</t>
  </si>
  <si>
    <t>SALDO DE CONTRATOS</t>
  </si>
  <si>
    <t>COMPROMETIDO</t>
  </si>
  <si>
    <t>SALDO ORÇ. NOMINAL</t>
  </si>
  <si>
    <t>SALDO ORÇ. CORRIGIDO</t>
  </si>
  <si>
    <t>PREV. FINANCEIRA</t>
  </si>
  <si>
    <t>CUSTO AO TÉRMINO</t>
  </si>
  <si>
    <t>DESVIO NOMINAL R$</t>
  </si>
  <si>
    <t>DESVIO NOMINAL %</t>
  </si>
  <si>
    <t>DESVIO CORRIGIDO R$</t>
  </si>
  <si>
    <t>DESVIO CORRIGIDO %</t>
  </si>
  <si>
    <t>PARECER TÉCNICO</t>
  </si>
  <si>
    <t>Descreva abaixo o parecer técnico da semana.</t>
  </si>
  <si>
    <t>Retirar do relatório</t>
  </si>
  <si>
    <t>Ex: 10/01/2026</t>
  </si>
  <si>
    <t>Ex: 20/01/2026</t>
  </si>
  <si>
    <t>Ex: 25/01/2026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</si>
</sst>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0&quot;%&quot;"/>
    <numFmt numFmtId="165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rgb="FFFFFFFF"/>
      <name val="Calibri"/>
      <family val="2"/>
    </font>
    <font>
      <b/>
      <sz val="10"/>
      <color rgb="FF1A2B45"/>
      <name val="Calibri"/>
      <family val="2"/>
    </font>
    <font>
      <sz val="10"/>
      <color rgb="FF374151"/>
      <name val="Calibri"/>
      <family val="2"/>
    </font>
    <font>
      <b/>
      <sz val="11"/>
      <color rgb="FF1A2B45"/>
      <name val="Calibri"/>
      <family val="2"/>
    </font>
    <font>
      <b/>
      <sz val="14"/>
      <color rgb="FFFFFFFF"/>
      <name val="Calibri"/>
      <family val="2"/>
    </font>
    <font>
      <b/>
      <sz val="9"/>
      <color theme="2" tint="-0.749992370372631"/>
      <name val="Calibri"/>
      <family val="2"/>
    </font>
    <font>
      <b/>
      <i/>
      <sz val="9"/>
      <color theme="2" tint="-0.749992370372631"/>
      <name val="Calibri"/>
      <family val="2"/>
    </font>
    <font>
      <sz val="11"/>
      <color rgb="FF1E293B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2B45"/>
      </patternFill>
    </fill>
    <fill>
      <patternFill patternType="solid">
        <fgColor rgb="FF1B6FB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0">
    <xf numFmtId="0" fontId="0" fillId="0" borderId="0" xfId="0"/>
    <xf numFmtId="0" fontId="3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14" fontId="4" fillId="5" borderId="1" xfId="0" applyNumberFormat="1" applyFont="1" applyFill="1" applyBorder="1" applyAlignment="1">
      <alignment horizontal="left" vertical="center" indent="1"/>
    </xf>
    <xf numFmtId="14" fontId="4" fillId="6" borderId="1" xfId="0" applyNumberFormat="1" applyFont="1" applyFill="1" applyBorder="1" applyAlignment="1">
      <alignment horizontal="left" vertical="center" indent="1"/>
    </xf>
    <xf numFmtId="1" fontId="4" fillId="6" borderId="1" xfId="0" applyNumberFormat="1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1"/>
    </xf>
    <xf numFmtId="164" fontId="5" fillId="6" borderId="1" xfId="0" applyNumberFormat="1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6" fillId="3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7" fillId="7" borderId="0" xfId="0" applyFont="1" applyFill="1" applyAlignment="1">
      <alignment horizontal="center" vertical="center"/>
    </xf>
    <xf numFmtId="44" fontId="0" fillId="0" borderId="0" xfId="1" applyFont="1"/>
    <xf numFmtId="44" fontId="0" fillId="8" borderId="0" xfId="1" applyFont="1" applyFill="1"/>
    <xf numFmtId="165" fontId="0" fillId="8" borderId="0" xfId="2" applyNumberFormat="1" applyFont="1" applyFill="1" applyAlignment="1">
      <alignment horizontal="center"/>
    </xf>
    <xf numFmtId="165" fontId="0" fillId="8" borderId="0" xfId="2" applyNumberFormat="1" applyFont="1" applyFill="1"/>
    <xf numFmtId="0" fontId="8" fillId="7" borderId="0" xfId="0" applyFont="1" applyFill="1" applyAlignment="1">
      <alignment horizontal="left" vertical="center" indent="1"/>
    </xf>
    <xf numFmtId="0" fontId="8" fillId="7" borderId="0" xfId="0" applyFont="1" applyFill="1" applyAlignment="1">
      <alignment horizontal="center" vertical="center"/>
    </xf>
    <xf numFmtId="14" fontId="0" fillId="0" borderId="0" xfId="0" applyNumberFormat="1"/>
    <xf numFmtId="0" fontId="6" fillId="3" borderId="0" xfId="0" applyFont="1" applyFill="1" applyAlignment="1">
      <alignment horizontal="left" vertical="center"/>
    </xf>
    <xf numFmtId="0" fontId="0" fillId="0" borderId="0" xfId="0"/>
    <xf numFmtId="0" fontId="6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0" borderId="3" xfId="0" applyBorder="1"/>
    <xf numFmtId="0" fontId="0" fillId="0" borderId="7" xfId="0" applyBorder="1"/>
    <xf numFmtId="0" fontId="8" fillId="7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9" fillId="5" borderId="2" xfId="0" applyFont="1" applyFill="1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8" fillId="7" borderId="8" xfId="0" applyFont="1" applyFill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43"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numFmt numFmtId="165" formatCode="0.0%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165" formatCode="0.0%"/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</dxf>
    <dxf>
      <border outline="0">
        <top style="thin">
          <color rgb="FFCBD5E1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/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alignment horizontal="center" vertical="bottom"/>
    </dxf>
    <dxf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border outline="0">
        <top style="thin">
          <color rgb="FFCBD5E1"/>
        </top>
      </border>
    </dxf>
    <dxf>
      <alignment horizontal="center" vertical="center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1" defaultTableStyle="TableStyleMedium2" defaultPivotStyle="PivotStyleLight16">
    <tableStyle name="TAB - MATEUS MONTEIRO" pivot="0" count="7" xr9:uid="{00000000-0011-0000-FFFF-FFFF00000000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2" displayName="Tabela2" ref="A3:D6" totalsRowShown="0" headerRowDxfId="35" tableBorderDxfId="34">
  <autoFilter ref="A3:D6" xr:uid="{00000000-0009-0000-0100-000001000000}"/>
  <tableColumns count="4">
    <tableColumn id="1" xr3:uid="{00000000-0010-0000-0000-000001000000}" name="BLOCO"/>
    <tableColumn id="2" xr3:uid="{00000000-0010-0000-0000-000002000000}" name="PAVIMENTO"/>
    <tableColumn id="3" xr3:uid="{00000000-0010-0000-0000-000003000000}" name="UNIDADE"/>
    <tableColumn id="4" xr3:uid="{00000000-0010-0000-0000-000004000000}" name="CATEGORIA"/>
  </tableColumns>
  <tableStyleInfo name="TAB - MATEUS MONTEIRO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3" displayName="Tabela3" ref="A3:F6" totalsRowShown="0" tableBorderDxfId="33">
  <autoFilter ref="A3:F6" xr:uid="{00000000-0009-0000-0100-000002000000}"/>
  <sortState xmlns:xlrd2="http://schemas.microsoft.com/office/spreadsheetml/2017/richdata2" ref="A4:F6">
    <sortCondition ref="B3:B6"/>
  </sortState>
  <tableColumns count="6">
    <tableColumn id="1" xr3:uid="{00000000-0010-0000-0100-000001000000}" name="UNIDADE"/>
    <tableColumn id="2" xr3:uid="{00000000-0010-0000-0100-000002000000}" name="DATA VISTORIA" dataDxfId="32"/>
    <tableColumn id="3" xr3:uid="{00000000-0010-0000-0100-000003000000}" name="STATUS"/>
    <tableColumn id="4" xr3:uid="{00000000-0010-0000-0100-000004000000}" name="MOTIVO REPROVAÇÃO"/>
    <tableColumn id="5" xr3:uid="{00000000-0010-0000-0100-000005000000}" name="SEMANA Nº" dataDxfId="31">
      <calculatedColumnFormula>IF(B4="","",WEEKNUM(B4,1))</calculatedColumnFormula>
    </tableColumn>
    <tableColumn id="6" xr3:uid="{00000000-0010-0000-0100-000006000000}" name="MÊS" dataDxfId="30">
      <calculatedColumnFormula>IF(B4="","",TEXT(B4,"mmmm"))</calculatedColumnFormula>
    </tableColumn>
  </tableColumns>
  <tableStyleInfo name="TAB - MATEUS MONTEIRO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4" displayName="Tabela4" ref="A3:I6" totalsRowShown="0" headerRowDxfId="29" dataDxfId="28" tableBorderDxfId="27">
  <autoFilter ref="A3:I6" xr:uid="{00000000-0009-0000-0100-000003000000}"/>
  <tableColumns count="9">
    <tableColumn id="1" xr3:uid="{00000000-0010-0000-0200-000001000000}" name="DATA CADASTRO" dataDxfId="26"/>
    <tableColumn id="2" xr3:uid="{00000000-0010-0000-0200-000002000000}" name="TIPO" dataDxfId="25"/>
    <tableColumn id="3" xr3:uid="{00000000-0010-0000-0200-000003000000}" name="DESCRIÇÃO" dataDxfId="24"/>
    <tableColumn id="4" xr3:uid="{00000000-0010-0000-0200-000004000000}" name="1º PRAZO" dataDxfId="23"/>
    <tableColumn id="5" xr3:uid="{00000000-0010-0000-0200-000005000000}" name="PRAZO ATUAL" dataDxfId="22"/>
    <tableColumn id="6" xr3:uid="{00000000-0010-0000-0200-000006000000}" name="DELTA DIAS" dataDxfId="21">
      <calculatedColumnFormula>IF(OR(D4="",E4=""),"",E4-D4)</calculatedColumnFormula>
    </tableColumn>
    <tableColumn id="7" xr3:uid="{00000000-0010-0000-0200-000007000000}" name="RESPONSÁVEL" dataDxfId="20"/>
    <tableColumn id="8" xr3:uid="{00000000-0010-0000-0200-000008000000}" name="STATUS" dataDxfId="19"/>
    <tableColumn id="9" xr3:uid="{6816C52C-219B-44C5-9460-FB46A53D1694}" name="OCULTAR" dataDxfId="18"/>
  </tableColumns>
  <tableStyleInfo name="TAB - MATEUS MONTEIRO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5" displayName="Tabela5" ref="A3:O7" totalsRowShown="0" headerRowDxfId="17" tableBorderDxfId="16">
  <autoFilter ref="A3:O7" xr:uid="{00000000-0009-0000-0100-000004000000}"/>
  <tableColumns count="15">
    <tableColumn id="1" xr3:uid="{00000000-0010-0000-0300-000001000000}" name="DESCRIÇÃO"/>
    <tableColumn id="2" xr3:uid="{00000000-0010-0000-0300-000002000000}" name="VALOR ORÇADO" dataCellStyle="Moeda"/>
    <tableColumn id="3" xr3:uid="{00000000-0010-0000-0300-000003000000}" name="VALOR ATUALIZADO" dataDxfId="15" dataCellStyle="Moeda"/>
    <tableColumn id="4" xr3:uid="{00000000-0010-0000-0300-000004000000}" name="PAGO" dataCellStyle="Moeda"/>
    <tableColumn id="5" xr3:uid="{00000000-0010-0000-0300-000005000000}" name="A PAGAR" dataCellStyle="Moeda"/>
    <tableColumn id="6" xr3:uid="{00000000-0010-0000-0300-000006000000}" name="SALDO DE CONTRATOS" dataCellStyle="Moeda"/>
    <tableColumn id="7" xr3:uid="{00000000-0010-0000-0300-000007000000}" name="COMPROMETIDO" dataDxfId="14" dataCellStyle="Moeda">
      <calculatedColumnFormula>SUM(Tabela5[[#This Row],[PAGO]:[SALDO DE CONTRATOS]])</calculatedColumnFormula>
    </tableColumn>
    <tableColumn id="8" xr3:uid="{00000000-0010-0000-0300-000008000000}" name="SALDO ORÇ. NOMINAL" dataDxfId="13" dataCellStyle="Moeda">
      <calculatedColumnFormula>Tabela5[[#This Row],[VALOR ORÇADO]]-Tabela5[[#This Row],[COMPROMETIDO]]</calculatedColumnFormula>
    </tableColumn>
    <tableColumn id="9" xr3:uid="{00000000-0010-0000-0300-000009000000}" name="SALDO ORÇ. CORRIGIDO" dataDxfId="12" dataCellStyle="Moeda">
      <calculatedColumnFormula>Tabela5[[#This Row],[VALOR ATUALIZADO]]-Tabela5[[#This Row],[COMPROMETIDO]]</calculatedColumnFormula>
    </tableColumn>
    <tableColumn id="10" xr3:uid="{00000000-0010-0000-0300-00000A000000}" name="PREV. FINANCEIRA" dataCellStyle="Moeda"/>
    <tableColumn id="11" xr3:uid="{00000000-0010-0000-0300-00000B000000}" name="CUSTO AO TÉRMINO" dataDxfId="11" dataCellStyle="Moeda">
      <calculatedColumnFormula>Tabela5[[#This Row],[PREV. FINANCEIRA]]+Tabela5[[#This Row],[PAGO]]</calculatedColumnFormula>
    </tableColumn>
    <tableColumn id="12" xr3:uid="{00000000-0010-0000-0300-00000C000000}" name="DESVIO NOMINAL R$" dataDxfId="10" dataCellStyle="Moeda">
      <calculatedColumnFormula>Tabela5[[#This Row],[VALOR ORÇADO]]-Tabela5[[#This Row],[CUSTO AO TÉRMINO]]</calculatedColumnFormula>
    </tableColumn>
    <tableColumn id="13" xr3:uid="{00000000-0010-0000-0300-00000D000000}" name="DESVIO NOMINAL %" dataDxfId="9" dataCellStyle="Porcentagem">
      <calculatedColumnFormula>IFERROR(Tabela5[[#This Row],[DESVIO NOMINAL R$]]/Tabela5[[#This Row],[VALOR ORÇADO]],0)</calculatedColumnFormula>
    </tableColumn>
    <tableColumn id="14" xr3:uid="{00000000-0010-0000-0300-00000E000000}" name="DESVIO CORRIGIDO R$" dataDxfId="8" dataCellStyle="Moeda">
      <calculatedColumnFormula>Tabela5[[#This Row],[VALOR ATUALIZADO]]-Tabela5[[#This Row],[CUSTO AO TÉRMINO]]</calculatedColumnFormula>
    </tableColumn>
    <tableColumn id="15" xr3:uid="{00000000-0010-0000-0300-00000F000000}" name="DESVIO CORRIGIDO %" dataDxfId="7" dataCellStyle="Porcentagem">
      <calculatedColumnFormula>IFERROR(Tabela5[[#This Row],[DESVIO CORRIGIDO R$]]/Tabela5[[#This Row],[VALOR ATUALIZADO]],0)</calculatedColumnFormula>
    </tableColumn>
  </tableColumns>
  <tableStyleInfo name="TAB - MATEUS MONTEIRO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6" displayName="Tabela6" ref="A3:I6" totalsRowShown="0" headerRowDxfId="6" tableBorderDxfId="5">
  <autoFilter ref="A3:I6" xr:uid="{00000000-0009-0000-0100-000005000000}"/>
  <tableColumns count="9">
    <tableColumn id="1" xr3:uid="{00000000-0010-0000-0400-000001000000}" name="ÁREA / LOCAL"/>
    <tableColumn id="2" xr3:uid="{00000000-0010-0000-0400-000002000000}" name="ITEM"/>
    <tableColumn id="3" xr3:uid="{00000000-0010-0000-0400-000003000000}" name="1º PRAZO" dataDxfId="4"/>
    <tableColumn id="4" xr3:uid="{00000000-0010-0000-0400-000004000000}" name="PRAZO ATUAL" dataDxfId="3"/>
    <tableColumn id="5" xr3:uid="{00000000-0010-0000-0400-000005000000}" name="DELTA" dataDxfId="2">
      <calculatedColumnFormula>IF(OR(C4="",D4=""),"",D4-C4)</calculatedColumnFormula>
    </tableColumn>
    <tableColumn id="6" xr3:uid="{00000000-0010-0000-0400-000006000000}" name="STATUS" dataDxfId="1"/>
    <tableColumn id="7" xr3:uid="{00000000-0010-0000-0400-000007000000}" name="RESPONSÁVEL"/>
    <tableColumn id="8" xr3:uid="{00000000-0010-0000-0400-000008000000}" name="OBSERVAÇÃO"/>
    <tableColumn id="9" xr3:uid="{00000000-0010-0000-0400-000009000000}" name="OCULTAR"/>
  </tableColumns>
  <tableStyleInfo name="TAB - MATEUS MONTEIR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showGridLines="0" zoomScale="220" zoomScaleNormal="220" workbookViewId="0">
      <selection activeCell="A7" sqref="A7"/>
    </sheetView>
  </sheetViews>
  <sheetFormatPr defaultRowHeight="15" x14ac:dyDescent="0.25"/>
  <cols>
    <col min="1" max="1" width="56.85546875" bestFit="1" customWidth="1"/>
  </cols>
  <sheetData>
    <row r="1" spans="1:1" ht="18.75" customHeight="1" x14ac:dyDescent="0.25">
      <c r="A1" s="10" t="s">
        <v>11</v>
      </c>
    </row>
    <row r="2" spans="1:1" x14ac:dyDescent="0.25">
      <c r="A2" s="20" t="s">
        <v>12</v>
      </c>
    </row>
    <row r="3" spans="1:1" ht="18.75" customHeight="1" x14ac:dyDescent="0.25">
      <c r="A3" s="9" t="s">
        <v>13</v>
      </c>
    </row>
    <row r="4" spans="1:1" x14ac:dyDescent="0.25">
      <c r="A4" s="8" t="s">
        <v>14</v>
      </c>
    </row>
    <row r="5" spans="1:1" x14ac:dyDescent="0.25">
      <c r="A5" s="8" t="s">
        <v>15</v>
      </c>
    </row>
    <row r="6" spans="1:1" x14ac:dyDescent="0.25">
      <c r="A6" s="8" t="s">
        <v>16</v>
      </c>
    </row>
    <row r="7" spans="1:1" x14ac:dyDescent="0.25">
      <c r="A7" s="8" t="s">
        <v>17</v>
      </c>
    </row>
    <row r="8" spans="1:1" x14ac:dyDescent="0.25">
      <c r="A8" s="8"/>
    </row>
    <row r="9" spans="1:1" x14ac:dyDescent="0.25">
      <c r="A9" s="8"/>
    </row>
    <row r="10" spans="1:1" x14ac:dyDescent="0.25">
      <c r="A10" s="8"/>
    </row>
    <row r="11" spans="1:1" x14ac:dyDescent="0.25">
      <c r="A11" s="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>
      <selection activeCell="B8" sqref="B8"/>
    </sheetView>
  </sheetViews>
  <sheetFormatPr defaultRowHeight="26.25" customHeight="1" x14ac:dyDescent="0.25"/>
  <cols>
    <col min="1" max="1" width="40" customWidth="1"/>
    <col min="2" max="2" width="36" customWidth="1"/>
  </cols>
  <sheetData>
    <row r="1" spans="1:2" ht="26.25" customHeight="1" x14ac:dyDescent="0.25">
      <c r="A1" s="25" t="s">
        <v>18</v>
      </c>
      <c r="B1" s="24"/>
    </row>
    <row r="2" spans="1:2" ht="26.25" customHeight="1" x14ac:dyDescent="0.25">
      <c r="A2" s="23" t="s">
        <v>19</v>
      </c>
      <c r="B2" s="24"/>
    </row>
    <row r="3" spans="1:2" ht="26.25" customHeight="1" x14ac:dyDescent="0.25">
      <c r="A3" s="1" t="s">
        <v>20</v>
      </c>
      <c r="B3" s="2"/>
    </row>
    <row r="4" spans="1:2" ht="26.25" customHeight="1" x14ac:dyDescent="0.25">
      <c r="A4" s="1" t="s">
        <v>21</v>
      </c>
      <c r="B4" s="2"/>
    </row>
    <row r="5" spans="1:2" ht="26.25" customHeight="1" x14ac:dyDescent="0.25">
      <c r="A5" s="1" t="s">
        <v>22</v>
      </c>
      <c r="B5" s="2"/>
    </row>
    <row r="6" spans="1:2" ht="26.25" customHeight="1" x14ac:dyDescent="0.25">
      <c r="A6" s="1" t="s">
        <v>23</v>
      </c>
      <c r="B6" s="2"/>
    </row>
    <row r="7" spans="1:2" ht="26.25" customHeight="1" x14ac:dyDescent="0.25">
      <c r="A7" s="23" t="s">
        <v>24</v>
      </c>
      <c r="B7" s="24"/>
    </row>
    <row r="8" spans="1:2" ht="26.25" customHeight="1" x14ac:dyDescent="0.25">
      <c r="A8" s="1" t="s">
        <v>25</v>
      </c>
      <c r="B8" s="3"/>
    </row>
    <row r="9" spans="1:2" ht="26.25" customHeight="1" x14ac:dyDescent="0.25">
      <c r="A9" s="1" t="s">
        <v>26</v>
      </c>
      <c r="B9" s="4" t="str">
        <f>IF(B8="","",B8+4)</f>
        <v/>
      </c>
    </row>
    <row r="10" spans="1:2" ht="26.25" customHeight="1" x14ac:dyDescent="0.25">
      <c r="A10" s="1" t="s">
        <v>27</v>
      </c>
      <c r="B10" s="5" t="str">
        <f>IF(B8="","",WEEKNUM(B8,1))</f>
        <v/>
      </c>
    </row>
    <row r="11" spans="1:2" ht="26.25" customHeight="1" x14ac:dyDescent="0.25">
      <c r="A11" s="23" t="s">
        <v>28</v>
      </c>
      <c r="B11" s="24"/>
    </row>
    <row r="12" spans="1:2" ht="26.25" customHeight="1" x14ac:dyDescent="0.25">
      <c r="A12" s="1" t="s">
        <v>29</v>
      </c>
      <c r="B12" s="6">
        <f>COUNTIF(Tabela2[CATEGORIA],"Aprovou Vistoria")</f>
        <v>0</v>
      </c>
    </row>
    <row r="13" spans="1:2" ht="26.25" customHeight="1" x14ac:dyDescent="0.25">
      <c r="A13" s="1" t="s">
        <v>30</v>
      </c>
      <c r="B13" s="6">
        <f>COUNTA(Tabela2[CATEGORIA])</f>
        <v>0</v>
      </c>
    </row>
    <row r="14" spans="1:2" ht="26.25" customHeight="1" x14ac:dyDescent="0.25">
      <c r="A14" s="1" t="s">
        <v>31</v>
      </c>
      <c r="B14" s="7" t="str">
        <f>IF(B13=0,"",ROUND(B12/B13*100,0))</f>
        <v/>
      </c>
    </row>
  </sheetData>
  <mergeCells count="4">
    <mergeCell ref="A2:B2"/>
    <mergeCell ref="A11:B11"/>
    <mergeCell ref="A1:B1"/>
    <mergeCell ref="A7:B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showGridLines="0" zoomScale="175" zoomScaleNormal="175" workbookViewId="0">
      <selection activeCell="B15" sqref="B14:B15"/>
    </sheetView>
  </sheetViews>
  <sheetFormatPr defaultRowHeight="15" x14ac:dyDescent="0.25"/>
  <cols>
    <col min="1" max="1" width="27" customWidth="1"/>
    <col min="2" max="2" width="35" customWidth="1"/>
    <col min="3" max="3" width="29" customWidth="1"/>
    <col min="4" max="4" width="26" customWidth="1"/>
  </cols>
  <sheetData>
    <row r="1" spans="1:4" ht="28.5" customHeight="1" x14ac:dyDescent="0.25">
      <c r="A1" s="26" t="s">
        <v>32</v>
      </c>
      <c r="B1" s="24"/>
      <c r="C1" s="24"/>
      <c r="D1" s="24"/>
    </row>
    <row r="2" spans="1:4" ht="19.5" customHeight="1" x14ac:dyDescent="0.25">
      <c r="A2" s="21" t="s">
        <v>33</v>
      </c>
      <c r="B2" s="21" t="s">
        <v>34</v>
      </c>
      <c r="C2" s="21" t="s">
        <v>35</v>
      </c>
      <c r="D2" s="21" t="s">
        <v>36</v>
      </c>
    </row>
    <row r="3" spans="1:4" ht="20.25" customHeight="1" x14ac:dyDescent="0.25">
      <c r="A3" s="12" t="s">
        <v>37</v>
      </c>
      <c r="B3" s="12" t="s">
        <v>38</v>
      </c>
      <c r="C3" s="12" t="s">
        <v>39</v>
      </c>
      <c r="D3" s="12" t="s">
        <v>13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E0949B-7841-4881-8575-323F1FD64852}">
          <x14:formula1>
            <xm:f>CONFIG!$A$4:$A$11</xm:f>
          </x14:formula1>
          <xm:sqref>D4:D6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showGridLines="0" zoomScale="130" zoomScaleNormal="130" workbookViewId="0">
      <selection activeCell="C12" sqref="C12"/>
    </sheetView>
  </sheetViews>
  <sheetFormatPr defaultRowHeight="15" x14ac:dyDescent="0.25"/>
  <cols>
    <col min="1" max="1" width="12" bestFit="1" customWidth="1"/>
    <col min="2" max="2" width="16.85546875" bestFit="1" customWidth="1"/>
    <col min="3" max="3" width="15.85546875" bestFit="1" customWidth="1"/>
    <col min="4" max="4" width="23.85546875" bestFit="1" customWidth="1"/>
    <col min="5" max="5" width="13.5703125" bestFit="1" customWidth="1"/>
    <col min="6" max="6" width="9.42578125" bestFit="1" customWidth="1"/>
    <col min="8" max="8" width="11.140625" bestFit="1" customWidth="1"/>
  </cols>
  <sheetData>
    <row r="1" spans="1:8" ht="17.25" customHeight="1" x14ac:dyDescent="0.25">
      <c r="A1" s="26" t="s">
        <v>40</v>
      </c>
      <c r="B1" s="24"/>
      <c r="C1" s="24"/>
      <c r="D1" s="24"/>
      <c r="E1" s="24"/>
      <c r="F1" s="24"/>
    </row>
    <row r="2" spans="1:8" x14ac:dyDescent="0.25">
      <c r="A2" s="15" t="s">
        <v>41</v>
      </c>
      <c r="B2" s="15" t="s">
        <v>42</v>
      </c>
      <c r="C2" s="15" t="s">
        <v>43</v>
      </c>
      <c r="D2" s="15" t="s">
        <v>44</v>
      </c>
      <c r="E2" s="15" t="s">
        <v>45</v>
      </c>
      <c r="F2" s="15" t="s">
        <v>45</v>
      </c>
    </row>
    <row r="3" spans="1:8" x14ac:dyDescent="0.25">
      <c r="A3" t="s">
        <v>39</v>
      </c>
      <c r="B3" t="s">
        <v>46</v>
      </c>
      <c r="C3" t="s">
        <v>7</v>
      </c>
      <c r="D3" t="s">
        <v>47</v>
      </c>
      <c r="E3" t="s">
        <v>48</v>
      </c>
      <c r="F3" t="s">
        <v>49</v>
      </c>
    </row>
    <row r="4" spans="1:8" x14ac:dyDescent="0.25">
      <c r="B4" s="14"/>
      <c r="E4" s="13" t="str">
        <f t="shared" ref="E4:E6" si="0">IF(B4="","",WEEKNUM(B4,1))</f>
        <v/>
      </c>
      <c r="F4" s="13" t="str">
        <f t="shared" ref="F4:F6" si="1">IF(B4="","",TEXT(B4,"mmmm"))</f>
        <v/>
      </c>
      <c r="H4" s="22"/>
    </row>
    <row r="5" spans="1:8" x14ac:dyDescent="0.25">
      <c r="B5" s="14"/>
      <c r="E5" s="13" t="str">
        <f t="shared" si="0"/>
        <v/>
      </c>
      <c r="F5" s="13" t="str">
        <f t="shared" si="1"/>
        <v/>
      </c>
      <c r="H5" s="22"/>
    </row>
    <row r="6" spans="1:8" x14ac:dyDescent="0.25">
      <c r="B6" s="14"/>
      <c r="E6" s="13" t="str">
        <f t="shared" si="0"/>
        <v/>
      </c>
      <c r="F6" s="13" t="str">
        <f t="shared" si="1"/>
        <v/>
      </c>
    </row>
  </sheetData>
  <mergeCells count="1">
    <mergeCell ref="A1:F1"/>
  </mergeCells>
  <phoneticPr fontId="10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showGridLines="0" workbookViewId="0">
      <selection activeCell="F19" sqref="F19"/>
    </sheetView>
  </sheetViews>
  <sheetFormatPr defaultRowHeight="15" x14ac:dyDescent="0.25"/>
  <cols>
    <col min="1" max="1" width="20.85546875" bestFit="1" customWidth="1"/>
    <col min="2" max="2" width="14" bestFit="1" customWidth="1"/>
    <col min="3" max="3" width="56.28515625" bestFit="1" customWidth="1"/>
    <col min="4" max="4" width="13.85546875" bestFit="1" customWidth="1"/>
    <col min="5" max="5" width="17.7109375" bestFit="1" customWidth="1"/>
    <col min="6" max="6" width="16" bestFit="1" customWidth="1"/>
    <col min="7" max="7" width="18.85546875" bestFit="1" customWidth="1"/>
    <col min="8" max="8" width="16.5703125" bestFit="1" customWidth="1"/>
    <col min="9" max="9" width="16.5703125" customWidth="1"/>
  </cols>
  <sheetData>
    <row r="1" spans="1:9" ht="17.25" customHeight="1" x14ac:dyDescent="0.25">
      <c r="A1" s="26" t="s">
        <v>50</v>
      </c>
      <c r="B1" s="26"/>
      <c r="C1" s="26"/>
      <c r="D1" s="26"/>
      <c r="E1" s="26"/>
      <c r="F1" s="26"/>
      <c r="G1" s="26"/>
      <c r="H1" s="26"/>
      <c r="I1" s="26"/>
    </row>
    <row r="2" spans="1:9" x14ac:dyDescent="0.25">
      <c r="A2" s="21" t="s">
        <v>76</v>
      </c>
      <c r="B2" s="21" t="s">
        <v>51</v>
      </c>
      <c r="C2" s="21" t="s">
        <v>52</v>
      </c>
      <c r="D2" s="21" t="s">
        <v>77</v>
      </c>
      <c r="E2" s="21" t="s">
        <v>78</v>
      </c>
      <c r="F2" s="21" t="s">
        <v>45</v>
      </c>
      <c r="G2" s="21" t="s">
        <v>53</v>
      </c>
      <c r="H2" s="21" t="s">
        <v>36</v>
      </c>
      <c r="I2" s="21" t="s">
        <v>75</v>
      </c>
    </row>
    <row r="3" spans="1:9" x14ac:dyDescent="0.25">
      <c r="A3" s="11" t="s">
        <v>54</v>
      </c>
      <c r="B3" s="11" t="s">
        <v>55</v>
      </c>
      <c r="C3" s="11" t="s">
        <v>56</v>
      </c>
      <c r="D3" s="11" t="s">
        <v>4</v>
      </c>
      <c r="E3" s="11" t="s">
        <v>5</v>
      </c>
      <c r="F3" s="11" t="s">
        <v>57</v>
      </c>
      <c r="G3" s="11" t="s">
        <v>8</v>
      </c>
      <c r="H3" s="11" t="s">
        <v>7</v>
      </c>
      <c r="I3" s="11" t="s">
        <v>10</v>
      </c>
    </row>
    <row r="4" spans="1:9" x14ac:dyDescent="0.25">
      <c r="A4" s="14"/>
      <c r="B4" s="11"/>
      <c r="C4" s="11"/>
      <c r="D4" s="14"/>
      <c r="E4" s="14"/>
      <c r="F4" s="13" t="str">
        <f t="shared" ref="F4:F6" si="0">IF(OR(D4="",E4=""),"",E4-D4)</f>
        <v/>
      </c>
      <c r="G4" s="11"/>
      <c r="H4" s="11"/>
    </row>
    <row r="5" spans="1:9" x14ac:dyDescent="0.25">
      <c r="A5" s="14"/>
      <c r="B5" s="11"/>
      <c r="C5" s="11"/>
      <c r="D5" s="14"/>
      <c r="E5" s="14"/>
      <c r="F5" s="13" t="str">
        <f t="shared" si="0"/>
        <v/>
      </c>
      <c r="G5" s="11"/>
      <c r="H5" s="11"/>
    </row>
    <row r="6" spans="1:9" x14ac:dyDescent="0.25">
      <c r="A6" s="14"/>
      <c r="B6" s="11"/>
      <c r="C6" s="11"/>
      <c r="D6" s="14"/>
      <c r="E6" s="14"/>
      <c r="F6" s="13" t="str">
        <f t="shared" si="0"/>
        <v/>
      </c>
      <c r="G6" s="11"/>
      <c r="H6" s="11"/>
    </row>
  </sheetData>
  <mergeCells count="1">
    <mergeCell ref="A1:I1"/>
  </mergeCells>
  <dataValidations count="2">
    <dataValidation type="list" allowBlank="1" showInputMessage="1" showErrorMessage="1" sqref="H4:H6" xr:uid="{00000000-0002-0000-0400-000000000000}">
      <formula1>"Em Andamento, Pendente,Não Iniciado,Concluído"</formula1>
    </dataValidation>
    <dataValidation type="list" allowBlank="1" showInputMessage="1" showErrorMessage="1" sqref="I4:I6" xr:uid="{97908694-D5B7-4FDF-8CB1-9DB4460C7588}">
      <formula1>"SIM"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"/>
  <sheetViews>
    <sheetView showGridLines="0" workbookViewId="0">
      <selection activeCell="C11" sqref="C11"/>
    </sheetView>
  </sheetViews>
  <sheetFormatPr defaultRowHeight="15" x14ac:dyDescent="0.25"/>
  <cols>
    <col min="1" max="1" width="16.28515625" bestFit="1" customWidth="1"/>
    <col min="2" max="2" width="18.140625" bestFit="1" customWidth="1"/>
    <col min="3" max="3" width="21.28515625" bestFit="1" customWidth="1"/>
    <col min="4" max="4" width="15.85546875" bestFit="1" customWidth="1"/>
    <col min="5" max="5" width="27" bestFit="1" customWidth="1"/>
    <col min="6" max="6" width="24.7109375" bestFit="1" customWidth="1"/>
    <col min="7" max="7" width="19" bestFit="1" customWidth="1"/>
    <col min="8" max="8" width="24.140625" bestFit="1" customWidth="1"/>
    <col min="9" max="9" width="26.42578125" bestFit="1" customWidth="1"/>
    <col min="10" max="10" width="20.5703125" bestFit="1" customWidth="1"/>
    <col min="11" max="11" width="21.85546875" bestFit="1" customWidth="1"/>
    <col min="12" max="12" width="22.28515625" bestFit="1" customWidth="1"/>
    <col min="13" max="13" width="21.5703125" bestFit="1" customWidth="1"/>
    <col min="14" max="14" width="24.7109375" bestFit="1" customWidth="1"/>
    <col min="15" max="15" width="24" bestFit="1" customWidth="1"/>
  </cols>
  <sheetData>
    <row r="1" spans="1:15" ht="17.25" customHeight="1" x14ac:dyDescent="0.25">
      <c r="A1" s="26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7" t="s">
        <v>58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9"/>
    </row>
    <row r="3" spans="1:15" x14ac:dyDescent="0.25">
      <c r="A3" s="11" t="s">
        <v>56</v>
      </c>
      <c r="B3" s="11" t="s">
        <v>59</v>
      </c>
      <c r="C3" s="11" t="s">
        <v>60</v>
      </c>
      <c r="D3" s="11" t="s">
        <v>61</v>
      </c>
      <c r="E3" s="11" t="s">
        <v>62</v>
      </c>
      <c r="F3" s="11" t="s">
        <v>63</v>
      </c>
      <c r="G3" s="11" t="s">
        <v>64</v>
      </c>
      <c r="H3" s="11" t="s">
        <v>65</v>
      </c>
      <c r="I3" s="11" t="s">
        <v>66</v>
      </c>
      <c r="J3" s="11" t="s">
        <v>67</v>
      </c>
      <c r="K3" s="11" t="s">
        <v>68</v>
      </c>
      <c r="L3" s="11" t="s">
        <v>69</v>
      </c>
      <c r="M3" s="11" t="s">
        <v>70</v>
      </c>
      <c r="N3" s="11" t="s">
        <v>71</v>
      </c>
      <c r="O3" s="11" t="s">
        <v>72</v>
      </c>
    </row>
    <row r="4" spans="1:15" x14ac:dyDescent="0.25">
      <c r="B4" s="16"/>
      <c r="C4" s="16"/>
      <c r="D4" s="16"/>
      <c r="E4" s="16"/>
      <c r="F4" s="16"/>
      <c r="G4" s="17">
        <f>SUM(Tabela5[[#This Row],[PAGO]:[SALDO DE CONTRATOS]])</f>
        <v>0</v>
      </c>
      <c r="H4" s="17">
        <f>Tabela5[[#This Row],[VALOR ORÇADO]]-Tabela5[[#This Row],[COMPROMETIDO]]</f>
        <v>0</v>
      </c>
      <c r="I4" s="17">
        <f>Tabela5[[#This Row],[VALOR ATUALIZADO]]-Tabela5[[#This Row],[COMPROMETIDO]]</f>
        <v>0</v>
      </c>
      <c r="J4" s="16"/>
      <c r="K4" s="17">
        <f>Tabela5[[#This Row],[PREV. FINANCEIRA]]+Tabela5[[#This Row],[PAGO]]</f>
        <v>0</v>
      </c>
      <c r="L4" s="17">
        <f>Tabela5[[#This Row],[VALOR ORÇADO]]-Tabela5[[#This Row],[CUSTO AO TÉRMINO]]</f>
        <v>0</v>
      </c>
      <c r="M4" s="18">
        <f>IFERROR(Tabela5[[#This Row],[DESVIO NOMINAL R$]]/Tabela5[[#This Row],[VALOR ORÇADO]],0)</f>
        <v>0</v>
      </c>
      <c r="N4" s="17">
        <f>Tabela5[[#This Row],[VALOR ATUALIZADO]]-Tabela5[[#This Row],[CUSTO AO TÉRMINO]]</f>
        <v>0</v>
      </c>
      <c r="O4" s="19">
        <f>IFERROR(Tabela5[[#This Row],[DESVIO CORRIGIDO R$]]/Tabela5[[#This Row],[VALOR ATUALIZADO]],0)</f>
        <v>0</v>
      </c>
    </row>
    <row r="5" spans="1:15" x14ac:dyDescent="0.25">
      <c r="B5" s="16"/>
      <c r="C5" s="16"/>
      <c r="D5" s="16"/>
      <c r="E5" s="16"/>
      <c r="F5" s="16"/>
      <c r="G5" s="17">
        <f>SUM(Tabela5[[#This Row],[PAGO]:[SALDO DE CONTRATOS]])</f>
        <v>0</v>
      </c>
      <c r="H5" s="17">
        <f>Tabela5[[#This Row],[VALOR ORÇADO]]-Tabela5[[#This Row],[COMPROMETIDO]]</f>
        <v>0</v>
      </c>
      <c r="I5" s="17">
        <f>Tabela5[[#This Row],[VALOR ATUALIZADO]]-Tabela5[[#This Row],[COMPROMETIDO]]</f>
        <v>0</v>
      </c>
      <c r="J5" s="16"/>
      <c r="K5" s="17">
        <f>Tabela5[[#This Row],[PREV. FINANCEIRA]]+Tabela5[[#This Row],[PAGO]]</f>
        <v>0</v>
      </c>
      <c r="L5" s="17">
        <f>Tabela5[[#This Row],[VALOR ORÇADO]]-Tabela5[[#This Row],[CUSTO AO TÉRMINO]]</f>
        <v>0</v>
      </c>
      <c r="M5" s="18">
        <f>IFERROR(Tabela5[[#This Row],[DESVIO NOMINAL R$]]/Tabela5[[#This Row],[VALOR ORÇADO]],0)</f>
        <v>0</v>
      </c>
      <c r="N5" s="17">
        <f>Tabela5[[#This Row],[VALOR ATUALIZADO]]-Tabela5[[#This Row],[CUSTO AO TÉRMINO]]</f>
        <v>0</v>
      </c>
      <c r="O5" s="19">
        <f>IFERROR(Tabela5[[#This Row],[DESVIO CORRIGIDO R$]]/Tabela5[[#This Row],[VALOR ATUALIZADO]],0)</f>
        <v>0</v>
      </c>
    </row>
    <row r="6" spans="1:15" x14ac:dyDescent="0.25">
      <c r="B6" s="16"/>
      <c r="C6" s="16"/>
      <c r="D6" s="16"/>
      <c r="E6" s="16"/>
      <c r="F6" s="16"/>
      <c r="G6" s="17">
        <f>SUM(Tabela5[[#This Row],[PAGO]:[SALDO DE CONTRATOS]])</f>
        <v>0</v>
      </c>
      <c r="H6" s="17">
        <f>Tabela5[[#This Row],[VALOR ORÇADO]]-Tabela5[[#This Row],[COMPROMETIDO]]</f>
        <v>0</v>
      </c>
      <c r="I6" s="17">
        <f>Tabela5[[#This Row],[VALOR ATUALIZADO]]-Tabela5[[#This Row],[COMPROMETIDO]]</f>
        <v>0</v>
      </c>
      <c r="J6" s="16"/>
      <c r="K6" s="17">
        <f>Tabela5[[#This Row],[PREV. FINANCEIRA]]+Tabela5[[#This Row],[PAGO]]</f>
        <v>0</v>
      </c>
      <c r="L6" s="17">
        <f>Tabela5[[#This Row],[VALOR ORÇADO]]-Tabela5[[#This Row],[CUSTO AO TÉRMINO]]</f>
        <v>0</v>
      </c>
      <c r="M6" s="18">
        <f>IFERROR(Tabela5[[#This Row],[DESVIO NOMINAL R$]]/Tabela5[[#This Row],[VALOR ORÇADO]],0)</f>
        <v>0</v>
      </c>
      <c r="N6" s="17">
        <f>Tabela5[[#This Row],[VALOR ATUALIZADO]]-Tabela5[[#This Row],[CUSTO AO TÉRMINO]]</f>
        <v>0</v>
      </c>
      <c r="O6" s="19">
        <f>IFERROR(Tabela5[[#This Row],[DESVIO CORRIGIDO R$]]/Tabela5[[#This Row],[VALOR ATUALIZADO]],0)</f>
        <v>0</v>
      </c>
    </row>
    <row r="7" spans="1:15" x14ac:dyDescent="0.25">
      <c r="B7" s="16"/>
      <c r="C7" s="16"/>
      <c r="D7" s="16"/>
      <c r="E7" s="16"/>
      <c r="F7" s="16"/>
      <c r="G7" s="17">
        <f>SUM(Tabela5[[#This Row],[PAGO]:[SALDO DE CONTRATOS]])</f>
        <v>0</v>
      </c>
      <c r="H7" s="17">
        <f>Tabela5[[#This Row],[VALOR ORÇADO]]-Tabela5[[#This Row],[COMPROMETIDO]]</f>
        <v>0</v>
      </c>
      <c r="I7" s="17">
        <f>Tabela5[[#This Row],[VALOR ATUALIZADO]]-Tabela5[[#This Row],[COMPROMETIDO]]</f>
        <v>0</v>
      </c>
      <c r="J7" s="16"/>
      <c r="K7" s="17">
        <f>Tabela5[[#This Row],[PREV. FINANCEIRA]]+Tabela5[[#This Row],[PAGO]]</f>
        <v>0</v>
      </c>
      <c r="L7" s="17">
        <f>Tabela5[[#This Row],[VALOR ORÇADO]]-Tabela5[[#This Row],[CUSTO AO TÉRMINO]]</f>
        <v>0</v>
      </c>
      <c r="M7" s="18">
        <f>IFERROR(Tabela5[[#This Row],[DESVIO NOMINAL R$]]/Tabela5[[#This Row],[VALOR ORÇADO]],0)</f>
        <v>0</v>
      </c>
      <c r="N7" s="17">
        <f>Tabela5[[#This Row],[VALOR ATUALIZADO]]-Tabela5[[#This Row],[CUSTO AO TÉRMINO]]</f>
        <v>0</v>
      </c>
      <c r="O7" s="19">
        <f>IFERROR(Tabela5[[#This Row],[DESVIO CORRIGIDO R$]]/Tabela5[[#This Row],[VALOR ATUALIZADO]],0)</f>
        <v>0</v>
      </c>
    </row>
  </sheetData>
  <mergeCells count="2">
    <mergeCell ref="A1:O1"/>
    <mergeCell ref="A2:O2"/>
  </mergeCells>
  <conditionalFormatting sqref="B4:O7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0"/>
  <sheetViews>
    <sheetView showGridLines="0" zoomScale="160" zoomScaleNormal="160" workbookViewId="0">
      <selection activeCell="A3" sqref="A3:D20"/>
    </sheetView>
  </sheetViews>
  <sheetFormatPr defaultRowHeight="15" x14ac:dyDescent="0.25"/>
  <cols>
    <col min="1" max="4" width="25" customWidth="1"/>
  </cols>
  <sheetData>
    <row r="1" spans="1:4" ht="17.25" customHeight="1" x14ac:dyDescent="0.25">
      <c r="A1" s="26" t="s">
        <v>73</v>
      </c>
      <c r="B1" s="24"/>
      <c r="C1" s="24"/>
      <c r="D1" s="24"/>
    </row>
    <row r="2" spans="1:4" x14ac:dyDescent="0.25">
      <c r="A2" s="30" t="s">
        <v>74</v>
      </c>
      <c r="B2" s="31"/>
      <c r="C2" s="31"/>
      <c r="D2" s="32"/>
    </row>
    <row r="3" spans="1:4" x14ac:dyDescent="0.25">
      <c r="A3" s="33"/>
      <c r="B3" s="28"/>
      <c r="C3" s="28"/>
      <c r="D3" s="29"/>
    </row>
    <row r="4" spans="1:4" x14ac:dyDescent="0.25">
      <c r="A4" s="34"/>
      <c r="B4" s="24"/>
      <c r="C4" s="24"/>
      <c r="D4" s="35"/>
    </row>
    <row r="5" spans="1:4" x14ac:dyDescent="0.25">
      <c r="A5" s="34"/>
      <c r="B5" s="24"/>
      <c r="C5" s="24"/>
      <c r="D5" s="35"/>
    </row>
    <row r="6" spans="1:4" x14ac:dyDescent="0.25">
      <c r="A6" s="34"/>
      <c r="B6" s="24"/>
      <c r="C6" s="24"/>
      <c r="D6" s="35"/>
    </row>
    <row r="7" spans="1:4" x14ac:dyDescent="0.25">
      <c r="A7" s="34"/>
      <c r="B7" s="24"/>
      <c r="C7" s="24"/>
      <c r="D7" s="35"/>
    </row>
    <row r="8" spans="1:4" x14ac:dyDescent="0.25">
      <c r="A8" s="34"/>
      <c r="B8" s="24"/>
      <c r="C8" s="24"/>
      <c r="D8" s="35"/>
    </row>
    <row r="9" spans="1:4" x14ac:dyDescent="0.25">
      <c r="A9" s="34"/>
      <c r="B9" s="24"/>
      <c r="C9" s="24"/>
      <c r="D9" s="35"/>
    </row>
    <row r="10" spans="1:4" x14ac:dyDescent="0.25">
      <c r="A10" s="34"/>
      <c r="B10" s="24"/>
      <c r="C10" s="24"/>
      <c r="D10" s="35"/>
    </row>
    <row r="11" spans="1:4" x14ac:dyDescent="0.25">
      <c r="A11" s="34"/>
      <c r="B11" s="24"/>
      <c r="C11" s="24"/>
      <c r="D11" s="35"/>
    </row>
    <row r="12" spans="1:4" x14ac:dyDescent="0.25">
      <c r="A12" s="34"/>
      <c r="B12" s="24"/>
      <c r="C12" s="24"/>
      <c r="D12" s="35"/>
    </row>
    <row r="13" spans="1:4" x14ac:dyDescent="0.25">
      <c r="A13" s="34"/>
      <c r="B13" s="24"/>
      <c r="C13" s="24"/>
      <c r="D13" s="35"/>
    </row>
    <row r="14" spans="1:4" x14ac:dyDescent="0.25">
      <c r="A14" s="34"/>
      <c r="B14" s="24"/>
      <c r="C14" s="24"/>
      <c r="D14" s="35"/>
    </row>
    <row r="15" spans="1:4" x14ac:dyDescent="0.25">
      <c r="A15" s="34"/>
      <c r="B15" s="24"/>
      <c r="C15" s="24"/>
      <c r="D15" s="35"/>
    </row>
    <row r="16" spans="1:4" x14ac:dyDescent="0.25">
      <c r="A16" s="34"/>
      <c r="B16" s="24"/>
      <c r="C16" s="24"/>
      <c r="D16" s="35"/>
    </row>
    <row r="17" spans="1:4" x14ac:dyDescent="0.25">
      <c r="A17" s="34"/>
      <c r="B17" s="24"/>
      <c r="C17" s="24"/>
      <c r="D17" s="35"/>
    </row>
    <row r="18" spans="1:4" x14ac:dyDescent="0.25">
      <c r="A18" s="34"/>
      <c r="B18" s="24"/>
      <c r="C18" s="24"/>
      <c r="D18" s="35"/>
    </row>
    <row r="19" spans="1:4" x14ac:dyDescent="0.25">
      <c r="A19" s="34"/>
      <c r="B19" s="24"/>
      <c r="C19" s="24"/>
      <c r="D19" s="35"/>
    </row>
    <row r="20" spans="1:4" x14ac:dyDescent="0.25">
      <c r="A20" s="36"/>
      <c r="B20" s="37"/>
      <c r="C20" s="37"/>
      <c r="D20" s="38"/>
    </row>
  </sheetData>
  <mergeCells count="3">
    <mergeCell ref="A1:D1"/>
    <mergeCell ref="A2:D2"/>
    <mergeCell ref="A3:D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showGridLines="0" tabSelected="1" workbookViewId="0">
      <selection activeCell="H15" sqref="H15"/>
    </sheetView>
  </sheetViews>
  <sheetFormatPr defaultRowHeight="15" x14ac:dyDescent="0.25"/>
  <cols>
    <col min="1" max="1" width="18" bestFit="1" customWidth="1"/>
    <col min="2" max="2" width="39.140625" bestFit="1" customWidth="1"/>
    <col min="3" max="3" width="13.85546875" bestFit="1" customWidth="1"/>
    <col min="4" max="4" width="17.7109375" bestFit="1" customWidth="1"/>
    <col min="5" max="5" width="11.28515625" bestFit="1" customWidth="1"/>
    <col min="6" max="6" width="14.42578125" bestFit="1" customWidth="1"/>
    <col min="7" max="7" width="18.85546875" bestFit="1" customWidth="1"/>
    <col min="8" max="8" width="20.7109375" bestFit="1" customWidth="1"/>
    <col min="9" max="9" width="14.140625" bestFit="1" customWidth="1"/>
  </cols>
  <sheetData>
    <row r="1" spans="1:9" ht="17.25" customHeight="1" x14ac:dyDescent="0.25">
      <c r="A1" s="26" t="s">
        <v>0</v>
      </c>
      <c r="B1" s="24"/>
      <c r="C1" s="24"/>
      <c r="D1" s="24"/>
      <c r="E1" s="24"/>
      <c r="F1" s="24"/>
      <c r="G1" s="24"/>
      <c r="H1" s="24"/>
      <c r="I1" s="24"/>
    </row>
    <row r="2" spans="1:9" x14ac:dyDescent="0.25">
      <c r="A2" s="39" t="s">
        <v>1</v>
      </c>
      <c r="B2" s="24"/>
      <c r="C2" s="24"/>
      <c r="D2" s="24"/>
      <c r="E2" s="24"/>
      <c r="F2" s="24"/>
      <c r="G2" s="24"/>
      <c r="H2" s="24"/>
      <c r="I2" s="24"/>
    </row>
    <row r="3" spans="1:9" x14ac:dyDescent="0.25">
      <c r="A3" s="11" t="s">
        <v>2</v>
      </c>
      <c r="B3" s="11" t="s">
        <v>3</v>
      </c>
      <c r="C3" s="11" t="s">
        <v>4</v>
      </c>
      <c r="D3" s="11" t="s">
        <v>5</v>
      </c>
      <c r="E3" s="11" t="s">
        <v>6</v>
      </c>
      <c r="F3" s="11" t="s">
        <v>7</v>
      </c>
      <c r="G3" s="11" t="s">
        <v>8</v>
      </c>
      <c r="H3" s="11" t="s">
        <v>9</v>
      </c>
      <c r="I3" s="11" t="s">
        <v>10</v>
      </c>
    </row>
    <row r="4" spans="1:9" x14ac:dyDescent="0.25">
      <c r="C4" s="14"/>
      <c r="D4" s="14"/>
      <c r="E4" s="13" t="str">
        <f t="shared" ref="E4:E6" si="0">IF(OR(C4="",D4=""),"",D4-C4)</f>
        <v/>
      </c>
      <c r="F4" s="11"/>
    </row>
    <row r="5" spans="1:9" x14ac:dyDescent="0.25">
      <c r="C5" s="14"/>
      <c r="D5" s="14"/>
      <c r="E5" s="13" t="str">
        <f t="shared" si="0"/>
        <v/>
      </c>
      <c r="F5" s="11"/>
    </row>
    <row r="6" spans="1:9" x14ac:dyDescent="0.25">
      <c r="C6" s="14"/>
      <c r="D6" s="14"/>
      <c r="E6" s="13" t="str">
        <f t="shared" si="0"/>
        <v/>
      </c>
      <c r="F6" s="11"/>
    </row>
  </sheetData>
  <mergeCells count="2">
    <mergeCell ref="A1:I1"/>
    <mergeCell ref="A2:I2"/>
  </mergeCells>
  <dataValidations count="2">
    <dataValidation type="list" allowBlank="1" showInputMessage="1" showErrorMessage="1" sqref="I4:I6" xr:uid="{00000000-0002-0000-0700-000000000000}">
      <formula1>"SIM"</formula1>
    </dataValidation>
    <dataValidation type="list" allowBlank="1" showInputMessage="1" showErrorMessage="1" sqref="F4:F6" xr:uid="{00000000-0002-0000-0700-000001000000}">
      <formula1>"Em Andamento, Pendente,Não Iniciado,Concluído"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CONFIG</vt:lpstr>
      <vt:lpstr>CAPA</vt:lpstr>
      <vt:lpstr>UNIDADES</vt:lpstr>
      <vt:lpstr>VISTORIAS</vt:lpstr>
      <vt:lpstr>DELIBERAÇÕES</vt:lpstr>
      <vt:lpstr>MFO</vt:lpstr>
      <vt:lpstr>PARECER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Nunes Da Cunha Monteiro</dc:creator>
  <cp:lastModifiedBy>Mateus Nunes Da Cunha Monteiro</cp:lastModifiedBy>
  <dcterms:created xsi:type="dcterms:W3CDTF">2026-05-29T21:14:11Z</dcterms:created>
  <dcterms:modified xsi:type="dcterms:W3CDTF">2026-05-29T23:57:34Z</dcterms:modified>
</cp:coreProperties>
</file>