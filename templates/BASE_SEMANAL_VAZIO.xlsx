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nuscapital-my.sharepoint.com/personal/mateus_monteiro_trinusco_com_br/Documents/Área de Trabalho/"/>
    </mc:Choice>
  </mc:AlternateContent>
  <xr:revisionPtr revIDLastSave="55" documentId="8_{CE7D988F-984A-4A19-A89C-3C6B3BB4DF89}" xr6:coauthVersionLast="47" xr6:coauthVersionMax="47" xr10:uidLastSave="{65ED7C34-A5BC-4BE6-BF8A-E190582E0941}"/>
  <bookViews>
    <workbookView xWindow="-120" yWindow="-120" windowWidth="29040" windowHeight="15720" activeTab="7" xr2:uid="{73139F22-B36F-45D6-A6D6-1C2A24802F10}"/>
  </bookViews>
  <sheets>
    <sheet name="CONFIG" sheetId="2" r:id="rId1"/>
    <sheet name="CAPA" sheetId="1" r:id="rId2"/>
    <sheet name="UNIDADES" sheetId="3" r:id="rId3"/>
    <sheet name="VISTORIAS" sheetId="4" r:id="rId4"/>
    <sheet name="DELIBERAÇÕES" sheetId="5" r:id="rId5"/>
    <sheet name="MFO" sheetId="6" r:id="rId6"/>
    <sheet name="PARECER" sheetId="7" r:id="rId7"/>
    <sheet name="CHECKLIST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8" l="1"/>
  <c r="E10" i="8"/>
  <c r="E9" i="8"/>
  <c r="E8" i="8"/>
  <c r="E7" i="8"/>
  <c r="E6" i="8"/>
  <c r="E5" i="8"/>
  <c r="E4" i="8"/>
  <c r="M4" i="6"/>
  <c r="M5" i="6"/>
  <c r="M6" i="6"/>
  <c r="M7" i="6"/>
  <c r="M8" i="6"/>
  <c r="M9" i="6"/>
  <c r="M10" i="6"/>
  <c r="M11" i="6"/>
  <c r="M12" i="6"/>
  <c r="M13" i="6"/>
  <c r="O4" i="6"/>
  <c r="O5" i="6"/>
  <c r="O6" i="6"/>
  <c r="O7" i="6"/>
  <c r="O8" i="6"/>
  <c r="O9" i="6"/>
  <c r="O10" i="6"/>
  <c r="O11" i="6"/>
  <c r="O12" i="6"/>
  <c r="O13" i="6"/>
  <c r="K4" i="6"/>
  <c r="K5" i="6"/>
  <c r="K6" i="6"/>
  <c r="K7" i="6"/>
  <c r="K8" i="6"/>
  <c r="K9" i="6"/>
  <c r="K10" i="6"/>
  <c r="K11" i="6"/>
  <c r="K12" i="6"/>
  <c r="K13" i="6"/>
  <c r="G4" i="6"/>
  <c r="G5" i="6"/>
  <c r="G6" i="6"/>
  <c r="G7" i="6"/>
  <c r="G8" i="6"/>
  <c r="G9" i="6"/>
  <c r="G10" i="6"/>
  <c r="G11" i="6"/>
  <c r="G12" i="6"/>
  <c r="G13" i="6"/>
  <c r="F5" i="5"/>
  <c r="F6" i="5"/>
  <c r="F7" i="5"/>
  <c r="F8" i="5"/>
  <c r="F9" i="5"/>
  <c r="F10" i="5"/>
  <c r="F11" i="5"/>
  <c r="F12" i="5"/>
  <c r="F13" i="5"/>
  <c r="F4" i="5"/>
  <c r="E4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B13" i="1"/>
  <c r="B12" i="1"/>
  <c r="B10" i="1"/>
  <c r="B9" i="1"/>
  <c r="N7" i="6" l="1"/>
  <c r="N10" i="6"/>
  <c r="N11" i="6"/>
  <c r="L8" i="6"/>
  <c r="L7" i="6"/>
  <c r="N4" i="6"/>
  <c r="N12" i="6"/>
  <c r="L9" i="6"/>
  <c r="N8" i="6"/>
  <c r="N13" i="6"/>
  <c r="L10" i="6"/>
  <c r="N5" i="6"/>
  <c r="L4" i="6"/>
  <c r="L13" i="6"/>
  <c r="N6" i="6"/>
  <c r="L5" i="6"/>
  <c r="L12" i="6"/>
  <c r="N9" i="6"/>
  <c r="L6" i="6"/>
  <c r="L11" i="6"/>
  <c r="I4" i="6"/>
  <c r="I5" i="6"/>
  <c r="I6" i="6"/>
  <c r="I7" i="6"/>
  <c r="I8" i="6"/>
  <c r="I9" i="6"/>
  <c r="I10" i="6"/>
  <c r="I11" i="6"/>
  <c r="I12" i="6"/>
  <c r="I13" i="6"/>
  <c r="H4" i="6"/>
  <c r="H5" i="6"/>
  <c r="H6" i="6"/>
  <c r="H7" i="6"/>
  <c r="H8" i="6"/>
  <c r="H9" i="6"/>
  <c r="H10" i="6"/>
  <c r="H11" i="6"/>
  <c r="H12" i="6"/>
  <c r="H13" i="6"/>
  <c r="B14" i="1"/>
</calcChain>
</file>

<file path=xl/sharedStrings.xml><?xml version="1.0" encoding="utf-8"?>
<sst xmlns="http://schemas.openxmlformats.org/spreadsheetml/2006/main" count="94" uniqueCount="82">
  <si>
    <t>CAPA — RELATÓRIO SEMANAL DE OBRA</t>
  </si>
  <si>
    <t xml:space="preserve">  IDENTIFICAÇÃO DA OBRA</t>
  </si>
  <si>
    <t>OBRA</t>
  </si>
  <si>
    <t>Residencial Maison Botânica</t>
  </si>
  <si>
    <t>CONSTRUTORA</t>
  </si>
  <si>
    <t>Construtora Exemplo S.A.</t>
  </si>
  <si>
    <t>GERENCIADORA</t>
  </si>
  <si>
    <t>Trinus Co. Participações</t>
  </si>
  <si>
    <t>ENGENHEIRO</t>
  </si>
  <si>
    <t>Eng. Carlos Mendes</t>
  </si>
  <si>
    <t xml:space="preserve">  PERÍODO DO RELATÓRIO</t>
  </si>
  <si>
    <t>DATA INÍCIO</t>
  </si>
  <si>
    <t>DATA FIM</t>
  </si>
  <si>
    <t>SEMANA</t>
  </si>
  <si>
    <t xml:space="preserve">  AVANÇO DE ENTREGAS</t>
  </si>
  <si>
    <t>TOTAL APROVADAS</t>
  </si>
  <si>
    <t>TOTAL DISPONÍVEIS</t>
  </si>
  <si>
    <t>AVANÇO DE ENTREGAS</t>
  </si>
  <si>
    <t>CONFIGURAÇÕES — CATEGORIAS DE UNIDADES</t>
  </si>
  <si>
    <t>CATEGORIA</t>
  </si>
  <si>
    <t>Aprovou Vistoria</t>
  </si>
  <si>
    <t>Liberado</t>
  </si>
  <si>
    <t>Estoque</t>
  </si>
  <si>
    <t>Restrição</t>
  </si>
  <si>
    <t xml:space="preserve">  Defina até 8 categorias. Serão as opções disponíveis na aba UNIDADES.</t>
  </si>
  <si>
    <t>MAPA DE UNIDADES</t>
  </si>
  <si>
    <t>BLOCO</t>
  </si>
  <si>
    <t>PAVIMENTO</t>
  </si>
  <si>
    <t>UNIDADE</t>
  </si>
  <si>
    <t>REGISTRO DE VISTORIAS</t>
  </si>
  <si>
    <t>DATA VISTORIA</t>
  </si>
  <si>
    <t>STATUS</t>
  </si>
  <si>
    <t>MOTIVO REPROVAÇÃO</t>
  </si>
  <si>
    <t>SEMANA Nº</t>
  </si>
  <si>
    <t>MÊS</t>
  </si>
  <si>
    <t>Ex: Bloco 1 - 01</t>
  </si>
  <si>
    <t>Ex: 15/01/2025</t>
  </si>
  <si>
    <t>Selecione da lista ▼</t>
  </si>
  <si>
    <t>Preencher se Reprovada</t>
  </si>
  <si>
    <t>Automático</t>
  </si>
  <si>
    <t>REGISTRO DE DELIBERAÇÕES</t>
  </si>
  <si>
    <t>DATA CADASTRO</t>
  </si>
  <si>
    <t>TIPO</t>
  </si>
  <si>
    <t>DESCRIÇÃO</t>
  </si>
  <si>
    <t>1º PRAZO</t>
  </si>
  <si>
    <t>PRAZO ATUAL</t>
  </si>
  <si>
    <t>DELTA DIAS</t>
  </si>
  <si>
    <t>RESPONSÁVEL</t>
  </si>
  <si>
    <t>Ex: 10/01/2025</t>
  </si>
  <si>
    <t>Texto Livre</t>
  </si>
  <si>
    <t>Descrição Da Demanda</t>
  </si>
  <si>
    <t>Ex: 20/01/2025</t>
  </si>
  <si>
    <t>Ex: 25/01/2025</t>
  </si>
  <si>
    <t>Ex: João Silva</t>
  </si>
  <si>
    <t>Selecione Da Lista ▼</t>
  </si>
  <si>
    <t>Monitoramento Financeiro de Obra. Preencha os campos em branco. Campos em azul claro são calculados automaticamente. Valores em R$.</t>
  </si>
  <si>
    <t>VALOR ORÇADO</t>
  </si>
  <si>
    <t>VALOR ATUALIZADO</t>
  </si>
  <si>
    <t>PAGO</t>
  </si>
  <si>
    <t>SALDO DE CONTRATOS</t>
  </si>
  <si>
    <t>COMPROMETIDO</t>
  </si>
  <si>
    <t>SALDO ORÇ. NOMINAL</t>
  </si>
  <si>
    <t>SALDO ORÇ. CORRIGIDO</t>
  </si>
  <si>
    <t>PREV. FINANCEIRA</t>
  </si>
  <si>
    <t>CUSTO AO TÉRMINO</t>
  </si>
  <si>
    <t>DESVIO NOMINAL R$</t>
  </si>
  <si>
    <t>DESVIO NOMINAL %</t>
  </si>
  <si>
    <t>DESVIO CORRIGIDO R$</t>
  </si>
  <si>
    <t>DESVIO CORRIGIDO %</t>
  </si>
  <si>
    <t>A PAGAR</t>
  </si>
  <si>
    <t>PARECER TÉCNICO</t>
  </si>
  <si>
    <t>Descreva abaixo o parecer técnico da semana.</t>
  </si>
  <si>
    <t>Registre cada item de acompanhamento por área/local. DELTA é calculado automaticamente (dias entre 1º Prazo e Prazo Atual). STATUS = selecione da lista.</t>
  </si>
  <si>
    <t>ÁREA / LOCAL</t>
  </si>
  <si>
    <t>ITEM</t>
  </si>
  <si>
    <t>OBSERVAÇÃO</t>
  </si>
  <si>
    <t>CHECKLIST DE ÁREA COMUM</t>
  </si>
  <si>
    <t>OCULTAR</t>
  </si>
  <si>
    <t>DELTA</t>
  </si>
  <si>
    <t>Ex: Bloco 1 / Torre A</t>
  </si>
  <si>
    <t>Ex: 1  (Repetir P/ Cada Pav.)</t>
  </si>
  <si>
    <t>Ex: 01  (Só O Nº 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</si>
</sst>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&quot;%&quot;"/>
    <numFmt numFmtId="166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b/>
      <sz val="10"/>
      <color rgb="FF1A2B45"/>
      <name val="Calibri"/>
      <family val="2"/>
    </font>
    <font>
      <sz val="10"/>
      <color rgb="FF374151"/>
      <name val="Calibri"/>
      <family val="2"/>
    </font>
    <font>
      <b/>
      <sz val="11"/>
      <color rgb="FF1A2B45"/>
      <name val="Calibri"/>
      <family val="2"/>
    </font>
    <font>
      <b/>
      <sz val="14"/>
      <color rgb="FFFFFFFF"/>
      <name val="Calibri"/>
      <family val="2"/>
    </font>
    <font>
      <sz val="14"/>
      <color theme="1"/>
      <name val="Aptos Narrow"/>
      <family val="2"/>
      <scheme val="minor"/>
    </font>
    <font>
      <b/>
      <sz val="9"/>
      <color theme="2" tint="-0.749992370372631"/>
      <name val="Calibri"/>
      <family val="2"/>
    </font>
    <font>
      <b/>
      <i/>
      <sz val="9"/>
      <color theme="2" tint="-0.749992370372631"/>
      <name val="Calibri"/>
      <family val="2"/>
    </font>
    <font>
      <b/>
      <sz val="11"/>
      <color theme="2" tint="-0.749992370372631"/>
      <name val="Aptos Narrow"/>
      <family val="2"/>
      <scheme val="minor"/>
    </font>
    <font>
      <sz val="11"/>
      <color rgb="FF1E293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2B45"/>
      </patternFill>
    </fill>
    <fill>
      <patternFill patternType="solid">
        <fgColor rgb="FF1B6FBF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1F5F9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14" fontId="4" fillId="5" borderId="1" xfId="0" applyNumberFormat="1" applyFont="1" applyFill="1" applyBorder="1" applyAlignment="1">
      <alignment horizontal="left" vertical="center" indent="1"/>
    </xf>
    <xf numFmtId="14" fontId="4" fillId="6" borderId="1" xfId="0" applyNumberFormat="1" applyFont="1" applyFill="1" applyBorder="1" applyAlignment="1">
      <alignment horizontal="left" vertical="center" indent="1"/>
    </xf>
    <xf numFmtId="1" fontId="4" fillId="6" borderId="1" xfId="0" applyNumberFormat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/>
    </xf>
    <xf numFmtId="0" fontId="7" fillId="0" borderId="0" xfId="0" applyFont="1"/>
    <xf numFmtId="0" fontId="4" fillId="4" borderId="1" xfId="0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8" fillId="7" borderId="0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10" fillId="0" borderId="4" xfId="0" applyFont="1" applyBorder="1"/>
    <xf numFmtId="0" fontId="10" fillId="0" borderId="5" xfId="0" applyFont="1" applyBorder="1"/>
    <xf numFmtId="0" fontId="9" fillId="7" borderId="6" xfId="0" applyFont="1" applyFill="1" applyBorder="1" applyAlignment="1">
      <alignment horizontal="left" vertical="center"/>
    </xf>
    <xf numFmtId="0" fontId="10" fillId="0" borderId="3" xfId="0" applyFont="1" applyBorder="1"/>
    <xf numFmtId="0" fontId="10" fillId="0" borderId="7" xfId="0" applyFont="1" applyBorder="1"/>
    <xf numFmtId="44" fontId="0" fillId="0" borderId="0" xfId="1" applyFont="1"/>
    <xf numFmtId="44" fontId="0" fillId="8" borderId="0" xfId="1" applyFont="1" applyFill="1"/>
    <xf numFmtId="166" fontId="0" fillId="8" borderId="0" xfId="2" applyNumberFormat="1" applyFont="1" applyFill="1" applyAlignment="1">
      <alignment horizontal="center"/>
    </xf>
    <xf numFmtId="166" fontId="0" fillId="8" borderId="0" xfId="2" applyNumberFormat="1" applyFont="1" applyFill="1"/>
    <xf numFmtId="0" fontId="11" fillId="5" borderId="2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2" fillId="2" borderId="0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left" vertical="center"/>
    </xf>
    <xf numFmtId="0" fontId="9" fillId="7" borderId="0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 indent="1"/>
    </xf>
    <xf numFmtId="0" fontId="9" fillId="7" borderId="0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32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CBD5E1"/>
        </top>
      </border>
    </dxf>
    <dxf>
      <numFmt numFmtId="166" formatCode="0.0%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numFmt numFmtId="166" formatCode="0.0%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border outline="0">
        <top style="thin">
          <color rgb="FFCBD5E1"/>
        </top>
      </border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CBD5E1"/>
        </top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CBD5E1"/>
        </top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rgb="FFCBD5E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nuscapital-my.sharepoint.com/personal/mateus_monteiro_trinusco_com_br/Documents/&#193;rea%20de%20Trabalho/TEMPLATE%20-%20PREENCHIDO.xlsx" TargetMode="External"/><Relationship Id="rId1" Type="http://schemas.openxmlformats.org/officeDocument/2006/relationships/externalLinkPath" Target="TEMPLATE%20-%20PREENCH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LISTAS"/>
      <sheetName val="CONFIGURAÇÕES"/>
      <sheetName val="UNIDADES"/>
      <sheetName val="VISTORIAS"/>
      <sheetName val="DELIBERAÇÕES"/>
      <sheetName val="MFO"/>
      <sheetName val="PARECER"/>
      <sheetName val="CHECKLIST"/>
    </sheetNames>
    <sheetDataSet>
      <sheetData sheetId="0"/>
      <sheetData sheetId="1"/>
      <sheetData sheetId="2"/>
      <sheetData sheetId="3">
        <row r="1">
          <cell r="A1" t="str">
            <v>MAPA DE UNIDADES</v>
          </cell>
        </row>
        <row r="2">
          <cell r="A2" t="str">
            <v>ex: Bloco 1 / Torre A</v>
          </cell>
          <cell r="D2" t="str">
            <v>selecione da lista ▼</v>
          </cell>
        </row>
        <row r="3">
          <cell r="A3" t="str">
            <v>BLOCO</v>
          </cell>
          <cell r="D3" t="str">
            <v>CATEGORIA</v>
          </cell>
        </row>
        <row r="4">
          <cell r="A4" t="str">
            <v>BLOCO A</v>
          </cell>
          <cell r="D4" t="str">
            <v>Aprovou Vistoria</v>
          </cell>
        </row>
        <row r="5">
          <cell r="A5" t="str">
            <v>BLOCO A</v>
          </cell>
          <cell r="D5" t="str">
            <v>Aprovou Vistoria</v>
          </cell>
        </row>
        <row r="6">
          <cell r="A6" t="str">
            <v>BLOCO A</v>
          </cell>
          <cell r="D6" t="str">
            <v>Aprovou Vistoria</v>
          </cell>
        </row>
        <row r="7">
          <cell r="A7" t="str">
            <v>BLOCO A</v>
          </cell>
          <cell r="D7" t="str">
            <v>Liberado</v>
          </cell>
        </row>
        <row r="8">
          <cell r="A8" t="str">
            <v>BLOCO A</v>
          </cell>
          <cell r="D8" t="str">
            <v>Restrição</v>
          </cell>
        </row>
        <row r="9">
          <cell r="A9" t="str">
            <v>BLOCO A</v>
          </cell>
          <cell r="D9" t="str">
            <v>Estoque</v>
          </cell>
        </row>
        <row r="10">
          <cell r="A10" t="str">
            <v>BLOCO A</v>
          </cell>
          <cell r="D10" t="str">
            <v>Aprovou Vistoria</v>
          </cell>
        </row>
        <row r="11">
          <cell r="A11" t="str">
            <v>BLOCO A</v>
          </cell>
          <cell r="D11" t="str">
            <v>Aprovou Vistoria</v>
          </cell>
        </row>
        <row r="12">
          <cell r="A12" t="str">
            <v>BLOCO A</v>
          </cell>
          <cell r="D12" t="str">
            <v>Aprovou Vistoria</v>
          </cell>
        </row>
        <row r="13">
          <cell r="A13" t="str">
            <v>BLOCO A</v>
          </cell>
          <cell r="D13" t="str">
            <v>Aprovou Vistoria</v>
          </cell>
        </row>
        <row r="14">
          <cell r="A14" t="str">
            <v>BLOCO A</v>
          </cell>
          <cell r="D14" t="str">
            <v>Aprovou Vistoria</v>
          </cell>
        </row>
        <row r="15">
          <cell r="A15" t="str">
            <v>BLOCO A</v>
          </cell>
          <cell r="D15" t="str">
            <v>Liberado</v>
          </cell>
        </row>
        <row r="16">
          <cell r="A16" t="str">
            <v>BLOCO A</v>
          </cell>
          <cell r="D16" t="str">
            <v>Restrição</v>
          </cell>
        </row>
        <row r="17">
          <cell r="A17" t="str">
            <v>BLOCO A</v>
          </cell>
          <cell r="D17" t="str">
            <v>Estoque</v>
          </cell>
        </row>
        <row r="18">
          <cell r="A18" t="str">
            <v>BLOCO A</v>
          </cell>
          <cell r="D18" t="str">
            <v>Aprovou Vistoria</v>
          </cell>
        </row>
        <row r="19">
          <cell r="A19" t="str">
            <v>BLOCO A</v>
          </cell>
          <cell r="D19" t="str">
            <v>Aprovou Vistoria</v>
          </cell>
        </row>
        <row r="20">
          <cell r="A20" t="str">
            <v>BLOCO A</v>
          </cell>
          <cell r="D20" t="str">
            <v>Aprovou Vistoria</v>
          </cell>
        </row>
        <row r="21">
          <cell r="A21" t="str">
            <v>BLOCO A</v>
          </cell>
          <cell r="D21" t="str">
            <v>Aprovou Vistoria</v>
          </cell>
        </row>
        <row r="22">
          <cell r="A22" t="str">
            <v>BLOCO A</v>
          </cell>
          <cell r="D22" t="str">
            <v>Aprovou Vistoria</v>
          </cell>
        </row>
        <row r="23">
          <cell r="A23" t="str">
            <v>BLOCO A</v>
          </cell>
          <cell r="D23" t="str">
            <v>Liberado</v>
          </cell>
        </row>
        <row r="24">
          <cell r="A24" t="str">
            <v>BLOCO B</v>
          </cell>
          <cell r="D24" t="str">
            <v>Restrição</v>
          </cell>
        </row>
        <row r="25">
          <cell r="A25" t="str">
            <v>BLOCO B</v>
          </cell>
          <cell r="D25" t="str">
            <v>Estoque</v>
          </cell>
        </row>
        <row r="26">
          <cell r="A26" t="str">
            <v>BLOCO B</v>
          </cell>
          <cell r="D26" t="str">
            <v>Aprovou Vistoria</v>
          </cell>
        </row>
        <row r="27">
          <cell r="A27" t="str">
            <v>BLOCO B</v>
          </cell>
          <cell r="D27" t="str">
            <v>Aprovou Vistoria</v>
          </cell>
        </row>
        <row r="28">
          <cell r="A28" t="str">
            <v>BLOCO B</v>
          </cell>
          <cell r="D28" t="str">
            <v>Aprovou Vistoria</v>
          </cell>
        </row>
        <row r="29">
          <cell r="A29" t="str">
            <v>BLOCO B</v>
          </cell>
          <cell r="D29" t="str">
            <v>Aprovou Vistoria</v>
          </cell>
        </row>
        <row r="30">
          <cell r="A30" t="str">
            <v>BLOCO B</v>
          </cell>
          <cell r="D30" t="str">
            <v>Aprovou Vistoria</v>
          </cell>
        </row>
        <row r="31">
          <cell r="A31" t="str">
            <v>BLOCO B</v>
          </cell>
          <cell r="D31" t="str">
            <v>Liberado</v>
          </cell>
        </row>
        <row r="32">
          <cell r="A32" t="str">
            <v>BLOCO B</v>
          </cell>
          <cell r="D32" t="str">
            <v>Restrição</v>
          </cell>
        </row>
        <row r="33">
          <cell r="A33" t="str">
            <v>BLOCO B</v>
          </cell>
          <cell r="D33" t="str">
            <v>Estoque</v>
          </cell>
        </row>
        <row r="34">
          <cell r="A34" t="str">
            <v>BLOCO B</v>
          </cell>
          <cell r="D34" t="str">
            <v>Aprovou Vistoria</v>
          </cell>
        </row>
        <row r="35">
          <cell r="A35" t="str">
            <v>BLOCO B</v>
          </cell>
          <cell r="D35" t="str">
            <v>Aprovou Vistoria</v>
          </cell>
        </row>
        <row r="36">
          <cell r="A36" t="str">
            <v>BLOCO B</v>
          </cell>
          <cell r="D36" t="str">
            <v>Aprovou Vistoria</v>
          </cell>
        </row>
        <row r="37">
          <cell r="A37" t="str">
            <v>BLOCO B</v>
          </cell>
          <cell r="D37" t="str">
            <v>Aprovou Vistoria</v>
          </cell>
        </row>
        <row r="38">
          <cell r="A38" t="str">
            <v>BLOCO B</v>
          </cell>
          <cell r="D38" t="str">
            <v>Aprovou Vistoria</v>
          </cell>
        </row>
        <row r="39">
          <cell r="A39" t="str">
            <v>BLOCO B</v>
          </cell>
          <cell r="D39" t="str">
            <v>Liberado</v>
          </cell>
        </row>
        <row r="40">
          <cell r="A40" t="str">
            <v>BLOCO B</v>
          </cell>
          <cell r="D40" t="str">
            <v>Restrição</v>
          </cell>
        </row>
        <row r="41">
          <cell r="A41" t="str">
            <v>BLOCO B</v>
          </cell>
          <cell r="D41" t="str">
            <v>Estoque</v>
          </cell>
        </row>
        <row r="42">
          <cell r="A42" t="str">
            <v>BLOCO B</v>
          </cell>
          <cell r="D42" t="str">
            <v>Aprovou Vistoria</v>
          </cell>
        </row>
        <row r="43">
          <cell r="A43" t="str">
            <v>BLOCO B</v>
          </cell>
          <cell r="D43" t="str">
            <v>Aprovou Vistoria</v>
          </cell>
        </row>
      </sheetData>
      <sheetData sheetId="4">
        <row r="2">
          <cell r="C2" t="str">
            <v>selecione da lista ▼</v>
          </cell>
        </row>
        <row r="3">
          <cell r="C3" t="str">
            <v>STATUS</v>
          </cell>
        </row>
        <row r="4">
          <cell r="C4" t="str">
            <v>Aprovada</v>
          </cell>
        </row>
        <row r="5">
          <cell r="C5" t="str">
            <v>Reprovada</v>
          </cell>
        </row>
        <row r="6">
          <cell r="C6" t="str">
            <v>Aprovada</v>
          </cell>
        </row>
        <row r="7">
          <cell r="C7" t="str">
            <v>Não Compareceu</v>
          </cell>
        </row>
        <row r="8">
          <cell r="C8" t="str">
            <v>Aprovada</v>
          </cell>
        </row>
        <row r="9">
          <cell r="C9" t="str">
            <v>Aprovada</v>
          </cell>
        </row>
        <row r="10">
          <cell r="C10" t="str">
            <v>Reprovada</v>
          </cell>
        </row>
        <row r="11">
          <cell r="C11" t="str">
            <v>Aprovada</v>
          </cell>
        </row>
        <row r="12">
          <cell r="C12" t="str">
            <v>Aprovada</v>
          </cell>
        </row>
        <row r="13">
          <cell r="C13" t="str">
            <v>Aprovada</v>
          </cell>
        </row>
        <row r="14">
          <cell r="C14" t="str">
            <v>Não Compareceu</v>
          </cell>
        </row>
        <row r="15">
          <cell r="C15" t="str">
            <v>Aprovada</v>
          </cell>
        </row>
      </sheetData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585ACC-0E2E-4ED8-BB3E-76EA6662280F}" name="Tabela2" displayName="Tabela2" ref="A3:D18" totalsRowShown="0" headerRowDxfId="30" tableBorderDxfId="31">
  <autoFilter ref="A3:D18" xr:uid="{F2585ACC-0E2E-4ED8-BB3E-76EA6662280F}"/>
  <tableColumns count="4">
    <tableColumn id="1" xr3:uid="{063EF027-97C0-45DC-B57D-9B81CAF71ECF}" name="BLOCO"/>
    <tableColumn id="2" xr3:uid="{F2260C16-EC42-418B-9B8F-5D58037545A6}" name="PAVIMENTO"/>
    <tableColumn id="3" xr3:uid="{3CFD77EC-D1A5-413B-86EC-6C36FBA5AE02}" name="UNIDADE"/>
    <tableColumn id="4" xr3:uid="{E4D2FADC-55AD-473D-9A87-8F71BC8230E4}" name="CATEGOR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8A5678-694D-4E94-83CF-6E60BD870641}" name="Tabela3" displayName="Tabela3" ref="A3:F9" totalsRowShown="0" tableBorderDxfId="29">
  <autoFilter ref="A3:F9" xr:uid="{458A5678-694D-4E94-83CF-6E60BD870641}"/>
  <tableColumns count="6">
    <tableColumn id="1" xr3:uid="{72950A9C-3E35-4863-9084-A6CE9F344D72}" name="UNIDADE"/>
    <tableColumn id="2" xr3:uid="{3596B727-6D9D-4E2C-89FE-8CDCBA202233}" name="DATA VISTORIA" dataDxfId="26"/>
    <tableColumn id="3" xr3:uid="{A95BF2E4-F4F1-4F33-8144-6DFC55E35120}" name="STATUS"/>
    <tableColumn id="4" xr3:uid="{5A34127B-21B4-4046-B4DB-13EF4FB3593C}" name="MOTIVO REPROVAÇÃO"/>
    <tableColumn id="5" xr3:uid="{77E5869C-8CE6-475C-BBAB-840DD21C257F}" name="SEMANA Nº" dataDxfId="28">
      <calculatedColumnFormula>IF(B4="","",WEEKNUM(B4,1))</calculatedColumnFormula>
    </tableColumn>
    <tableColumn id="6" xr3:uid="{9C2729B3-DE44-4416-B68F-6F9E4E5809E5}" name="MÊS" dataDxfId="27">
      <calculatedColumnFormula>IF(B4="","",TEXT(B4,"mmmm"))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E336E2-417A-491D-AC33-9C6EAA137553}" name="Tabela4" displayName="Tabela4" ref="A3:H13" totalsRowShown="0" headerRowDxfId="23" dataDxfId="22" tableBorderDxfId="25">
  <autoFilter ref="A3:H13" xr:uid="{62E336E2-417A-491D-AC33-9C6EAA137553}"/>
  <tableColumns count="8">
    <tableColumn id="1" xr3:uid="{C14FAA01-C4EE-4E33-89C3-F1BB016807CC}" name="DATA CADASTRO" dataDxfId="20"/>
    <tableColumn id="2" xr3:uid="{70C2469B-B101-463E-B436-C851CF43CDC5}" name="TIPO" dataDxfId="21"/>
    <tableColumn id="3" xr3:uid="{0330019D-C5DA-4210-A095-A126822866E6}" name="DESCRIÇÃO" dataDxfId="19"/>
    <tableColumn id="4" xr3:uid="{138E30A8-9768-4822-8572-CB0C8113E16C}" name="1º PRAZO" dataDxfId="18"/>
    <tableColumn id="5" xr3:uid="{865F2461-96A9-4577-A7B6-2FDD27CFC16F}" name="PRAZO ATUAL" dataDxfId="17"/>
    <tableColumn id="6" xr3:uid="{4D3D3D95-FD68-4319-8D8F-B498D9A665BD}" name="DELTA DIAS" dataDxfId="15">
      <calculatedColumnFormula>IF(OR(D4="",E4=""),"",E4-D4)</calculatedColumnFormula>
    </tableColumn>
    <tableColumn id="7" xr3:uid="{9B682D23-9E87-4A01-B9F6-7B42B460E70A}" name="RESPONSÁVEL" dataDxfId="16"/>
    <tableColumn id="8" xr3:uid="{B2F555DE-A40C-41EB-88F3-5DA450B1F54C}" name="STATUS" dataDxfId="24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F9884C-064E-456B-96F9-56EBF58B73D7}" name="Tabela5" displayName="Tabela5" ref="A3:O13" totalsRowShown="0" tableBorderDxfId="14">
  <autoFilter ref="A3:O13" xr:uid="{F8F9884C-064E-456B-96F9-56EBF58B73D7}"/>
  <tableColumns count="15">
    <tableColumn id="1" xr3:uid="{1E8313BE-9FA0-4879-8027-B81F8FBE93BB}" name="DESCRIÇÃO"/>
    <tableColumn id="2" xr3:uid="{A4C1AFE2-D601-47B1-BB8D-D76A2EA86E20}" name="VALOR ORÇADO" dataCellStyle="Moeda"/>
    <tableColumn id="3" xr3:uid="{A943EB49-B489-457E-BE26-E7AC428A06AC}" name="VALOR ATUALIZADO" dataCellStyle="Moeda"/>
    <tableColumn id="4" xr3:uid="{41230BA6-12FE-4EE6-B260-1F06EB5D23A0}" name="PAGO" dataCellStyle="Moeda"/>
    <tableColumn id="5" xr3:uid="{38E281A2-7436-41B3-A8B3-3C2FAED8EB87}" name="A PAGAR" dataCellStyle="Moeda"/>
    <tableColumn id="6" xr3:uid="{9DD6D2E0-E5A6-4391-94DB-FB1D75ADFD4B}" name="SALDO DE CONTRATOS" dataCellStyle="Moeda"/>
    <tableColumn id="7" xr3:uid="{F110B218-CAA3-4981-9BD6-13E6AC4E6AA4}" name="COMPROMETIDO" dataDxfId="13" dataCellStyle="Moeda">
      <calculatedColumnFormula>SUM(Tabela5[[#This Row],[PAGO]:[SALDO DE CONTRATOS]])</calculatedColumnFormula>
    </tableColumn>
    <tableColumn id="8" xr3:uid="{97EAF0B3-0E84-4A89-B435-3981FFB2F514}" name="SALDO ORÇ. NOMINAL" dataDxfId="12" dataCellStyle="Moeda">
      <calculatedColumnFormula>Tabela5[[#This Row],[VALOR ORÇADO]]-Tabela5[[#This Row],[COMPROMETIDO]]</calculatedColumnFormula>
    </tableColumn>
    <tableColumn id="9" xr3:uid="{FA0CD418-D7D6-4FC3-94B7-2A91513C0368}" name="SALDO ORÇ. CORRIGIDO" dataDxfId="11" dataCellStyle="Moeda">
      <calculatedColumnFormula>Tabela5[[#This Row],[VALOR ATUALIZADO]]-Tabela5[[#This Row],[COMPROMETIDO]]</calculatedColumnFormula>
    </tableColumn>
    <tableColumn id="10" xr3:uid="{EAF80F01-0CB3-4FD1-BB33-FB9D6115CEFA}" name="PREV. FINANCEIRA" dataCellStyle="Moeda"/>
    <tableColumn id="11" xr3:uid="{269DA9F1-4E7D-4D0A-BC09-092306E7988C}" name="CUSTO AO TÉRMINO" dataDxfId="10" dataCellStyle="Moeda">
      <calculatedColumnFormula>Tabela5[[#This Row],[PREV. FINANCEIRA]]+Tabela5[[#This Row],[PAGO]]</calculatedColumnFormula>
    </tableColumn>
    <tableColumn id="12" xr3:uid="{7AF55B12-3A4D-4EC4-8C23-2698A50A8A3E}" name="DESVIO NOMINAL R$" dataDxfId="9" dataCellStyle="Moeda">
      <calculatedColumnFormula>Tabela5[[#This Row],[VALOR ORÇADO]]-Tabela5[[#This Row],[CUSTO AO TÉRMINO]]</calculatedColumnFormula>
    </tableColumn>
    <tableColumn id="13" xr3:uid="{839353B2-5D5D-43F3-84B1-D84600D46723}" name="DESVIO NOMINAL %" dataDxfId="6" dataCellStyle="Porcentagem">
      <calculatedColumnFormula>IFERROR(Tabela5[[#This Row],[DESVIO NOMINAL R$]]/Tabela5[[#This Row],[VALOR ORÇADO]],0)</calculatedColumnFormula>
    </tableColumn>
    <tableColumn id="14" xr3:uid="{AF78D89B-B39A-40AC-A2D4-92A1DC98B99C}" name="DESVIO CORRIGIDO R$" dataDxfId="8" dataCellStyle="Moeda">
      <calculatedColumnFormula>Tabela5[[#This Row],[VALOR ATUALIZADO]]-Tabela5[[#This Row],[CUSTO AO TÉRMINO]]</calculatedColumnFormula>
    </tableColumn>
    <tableColumn id="15" xr3:uid="{06EE0D79-B353-4D14-9616-43692033788F}" name="DESVIO CORRIGIDO %" dataDxfId="7" dataCellStyle="Porcentagem">
      <calculatedColumnFormula>IFERROR(Tabela5[[#This Row],[DESVIO CORRIGIDO R$]]/Tabela5[[#This Row],[VALOR ATUALIZADO]],0)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8EADF8-83F1-4C40-802D-F499104FEF5F}" name="Tabela6" displayName="Tabela6" ref="A3:I11" totalsRowShown="0" headerRowDxfId="4" tableBorderDxfId="5">
  <autoFilter ref="A3:I11" xr:uid="{508EADF8-83F1-4C40-802D-F499104FEF5F}"/>
  <tableColumns count="9">
    <tableColumn id="1" xr3:uid="{5BD0F301-FFEB-4658-8A55-B5F528502825}" name="ÁREA / LOCAL"/>
    <tableColumn id="2" xr3:uid="{94F853DB-2BB8-4C20-8BF9-D689FC3F42AA}" name="ITEM"/>
    <tableColumn id="3" xr3:uid="{0EC052FC-A359-4CA0-9AA3-487C7C0BB615}" name="1º PRAZO" dataDxfId="3"/>
    <tableColumn id="4" xr3:uid="{63DDF697-8E8C-471C-8002-136301FB00D9}" name="PRAZO ATUAL" dataDxfId="2"/>
    <tableColumn id="5" xr3:uid="{4C107B7B-35A5-4257-9DA3-19CE79F2719F}" name="DELTA" dataDxfId="1">
      <calculatedColumnFormula>IF(OR(C4="",D4=""),"",D4-C4)</calculatedColumnFormula>
    </tableColumn>
    <tableColumn id="6" xr3:uid="{F94447DE-9C90-4E58-945C-8C648E43CB6E}" name="STATUS" dataDxfId="0"/>
    <tableColumn id="7" xr3:uid="{2C602B9A-0A31-4E33-90CE-59DDA13A41CD}" name="RESPONSÁVEL"/>
    <tableColumn id="8" xr3:uid="{EE75F888-0109-4294-BF1A-5F857D8A7BB7}" name="OBSERVAÇÃO"/>
    <tableColumn id="9" xr3:uid="{4689D7B4-5839-45E0-8439-91603DA1EE80}" name="OCULTA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5637-F8AE-4A52-B7A1-D152360AC0DD}">
  <dimension ref="A1:A11"/>
  <sheetViews>
    <sheetView showGridLines="0" zoomScale="220" zoomScaleNormal="220" workbookViewId="0">
      <selection activeCell="A2" sqref="A2"/>
    </sheetView>
  </sheetViews>
  <sheetFormatPr defaultRowHeight="15" x14ac:dyDescent="0.25"/>
  <cols>
    <col min="1" max="1" width="56.85546875" bestFit="1" customWidth="1"/>
  </cols>
  <sheetData>
    <row r="1" spans="1:1" ht="18.75" x14ac:dyDescent="0.25">
      <c r="A1" s="15" t="s">
        <v>18</v>
      </c>
    </row>
    <row r="2" spans="1:1" x14ac:dyDescent="0.25">
      <c r="A2" s="42" t="s">
        <v>24</v>
      </c>
    </row>
    <row r="3" spans="1:1" ht="18.75" x14ac:dyDescent="0.25">
      <c r="A3" s="13" t="s">
        <v>19</v>
      </c>
    </row>
    <row r="4" spans="1:1" x14ac:dyDescent="0.25">
      <c r="A4" s="12" t="s">
        <v>20</v>
      </c>
    </row>
    <row r="5" spans="1:1" x14ac:dyDescent="0.25">
      <c r="A5" s="12" t="s">
        <v>21</v>
      </c>
    </row>
    <row r="6" spans="1:1" x14ac:dyDescent="0.25">
      <c r="A6" s="12" t="s">
        <v>22</v>
      </c>
    </row>
    <row r="7" spans="1:1" x14ac:dyDescent="0.25">
      <c r="A7" s="12" t="s">
        <v>23</v>
      </c>
    </row>
    <row r="8" spans="1:1" x14ac:dyDescent="0.25">
      <c r="A8" s="12"/>
    </row>
    <row r="9" spans="1:1" x14ac:dyDescent="0.25">
      <c r="A9" s="12"/>
    </row>
    <row r="10" spans="1:1" x14ac:dyDescent="0.25">
      <c r="A10" s="12"/>
    </row>
    <row r="11" spans="1:1" x14ac:dyDescent="0.25">
      <c r="A11" s="1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7772-65E8-48BD-8DAE-1F0437D9C143}">
  <dimension ref="A1:B14"/>
  <sheetViews>
    <sheetView showGridLines="0" zoomScaleNormal="100" workbookViewId="0">
      <selection activeCell="A20" sqref="A20"/>
    </sheetView>
  </sheetViews>
  <sheetFormatPr defaultRowHeight="26.25" customHeight="1" x14ac:dyDescent="0.25"/>
  <cols>
    <col min="1" max="1" width="40" customWidth="1"/>
    <col min="2" max="2" width="36" customWidth="1"/>
  </cols>
  <sheetData>
    <row r="1" spans="1:2" ht="26.25" customHeight="1" x14ac:dyDescent="0.3">
      <c r="A1" s="14" t="s">
        <v>0</v>
      </c>
      <c r="B1" s="11"/>
    </row>
    <row r="2" spans="1:2" ht="26.25" customHeight="1" x14ac:dyDescent="0.3">
      <c r="A2" s="10" t="s">
        <v>1</v>
      </c>
      <c r="B2" s="11"/>
    </row>
    <row r="3" spans="1:2" ht="26.25" customHeight="1" x14ac:dyDescent="0.25">
      <c r="A3" s="3" t="s">
        <v>2</v>
      </c>
      <c r="B3" s="4" t="s">
        <v>3</v>
      </c>
    </row>
    <row r="4" spans="1:2" ht="26.25" customHeight="1" x14ac:dyDescent="0.25">
      <c r="A4" s="3" t="s">
        <v>4</v>
      </c>
      <c r="B4" s="4" t="s">
        <v>5</v>
      </c>
    </row>
    <row r="5" spans="1:2" ht="26.25" customHeight="1" x14ac:dyDescent="0.25">
      <c r="A5" s="3" t="s">
        <v>6</v>
      </c>
      <c r="B5" s="4" t="s">
        <v>7</v>
      </c>
    </row>
    <row r="6" spans="1:2" ht="26.25" customHeight="1" x14ac:dyDescent="0.25">
      <c r="A6" s="3" t="s">
        <v>8</v>
      </c>
      <c r="B6" s="4" t="s">
        <v>9</v>
      </c>
    </row>
    <row r="7" spans="1:2" ht="26.25" customHeight="1" x14ac:dyDescent="0.3">
      <c r="A7" s="10" t="s">
        <v>10</v>
      </c>
      <c r="B7" s="11"/>
    </row>
    <row r="8" spans="1:2" ht="26.25" customHeight="1" x14ac:dyDescent="0.25">
      <c r="A8" s="3" t="s">
        <v>11</v>
      </c>
      <c r="B8" s="5">
        <v>45796</v>
      </c>
    </row>
    <row r="9" spans="1:2" ht="26.25" customHeight="1" x14ac:dyDescent="0.25">
      <c r="A9" s="3" t="s">
        <v>12</v>
      </c>
      <c r="B9" s="6">
        <f>IF(B8="","",B8+4)</f>
        <v>45800</v>
      </c>
    </row>
    <row r="10" spans="1:2" ht="26.25" customHeight="1" x14ac:dyDescent="0.25">
      <c r="A10" s="3" t="s">
        <v>13</v>
      </c>
      <c r="B10" s="7">
        <f>IF(B8="","",WEEKNUM(B8,1))</f>
        <v>21</v>
      </c>
    </row>
    <row r="11" spans="1:2" ht="26.25" customHeight="1" x14ac:dyDescent="0.3">
      <c r="A11" s="10" t="s">
        <v>14</v>
      </c>
      <c r="B11" s="11"/>
    </row>
    <row r="12" spans="1:2" ht="26.25" customHeight="1" x14ac:dyDescent="0.25">
      <c r="A12" s="3" t="s">
        <v>15</v>
      </c>
      <c r="B12" s="8">
        <f>COUNTIF([1]VISTORIAS!C:C,"Aprov*")</f>
        <v>8</v>
      </c>
    </row>
    <row r="13" spans="1:2" ht="26.25" customHeight="1" x14ac:dyDescent="0.25">
      <c r="A13" s="3" t="s">
        <v>16</v>
      </c>
      <c r="B13" s="8">
        <f>COUNTA([1]UNIDADES!A:A)-3-COUNTIF([1]UNIDADES!D:D,"*stoque*")</f>
        <v>35</v>
      </c>
    </row>
    <row r="14" spans="1:2" ht="26.25" customHeight="1" x14ac:dyDescent="0.25">
      <c r="A14" s="3" t="s">
        <v>17</v>
      </c>
      <c r="B14" s="9">
        <f>IF(B13=0,"",ROUND(B12/B13*100,0))</f>
        <v>23</v>
      </c>
    </row>
  </sheetData>
  <mergeCells count="4">
    <mergeCell ref="A1:B1"/>
    <mergeCell ref="A2:B2"/>
    <mergeCell ref="A7:B7"/>
    <mergeCell ref="A11:B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410-06B8-4201-8DBE-B7C427C4C729}">
  <dimension ref="A1:D3"/>
  <sheetViews>
    <sheetView showGridLines="0" zoomScale="175" zoomScaleNormal="175" workbookViewId="0">
      <selection activeCell="A2" sqref="A2"/>
    </sheetView>
  </sheetViews>
  <sheetFormatPr defaultRowHeight="15" x14ac:dyDescent="0.25"/>
  <cols>
    <col min="1" max="1" width="27" customWidth="1"/>
    <col min="2" max="2" width="35" customWidth="1"/>
    <col min="3" max="3" width="29" customWidth="1"/>
    <col min="4" max="4" width="26" customWidth="1"/>
  </cols>
  <sheetData>
    <row r="1" spans="1:4" ht="28.5" customHeight="1" x14ac:dyDescent="0.25">
      <c r="A1" s="1" t="s">
        <v>25</v>
      </c>
      <c r="B1" s="2"/>
      <c r="C1" s="2"/>
      <c r="D1" s="2"/>
    </row>
    <row r="2" spans="1:4" ht="19.5" customHeight="1" x14ac:dyDescent="0.25">
      <c r="A2" s="43" t="s">
        <v>79</v>
      </c>
      <c r="B2" s="43" t="s">
        <v>80</v>
      </c>
      <c r="C2" s="43" t="s">
        <v>81</v>
      </c>
      <c r="D2" s="43" t="s">
        <v>54</v>
      </c>
    </row>
    <row r="3" spans="1:4" ht="20.25" customHeight="1" x14ac:dyDescent="0.25">
      <c r="A3" s="17" t="s">
        <v>26</v>
      </c>
      <c r="B3" s="17" t="s">
        <v>27</v>
      </c>
      <c r="C3" s="17" t="s">
        <v>28</v>
      </c>
      <c r="D3" s="17" t="s">
        <v>19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B6CE350-488A-4249-A48E-0B26C2938392}">
          <x14:formula1>
            <xm:f>CONFIG!$A$4:$A$11</xm:f>
          </x14:formula1>
          <xm:sqref>D4:D18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BC5F-47D3-4BCE-96E7-701F2DC4C045}">
  <dimension ref="A1:F15"/>
  <sheetViews>
    <sheetView showGridLines="0" zoomScale="130" zoomScaleNormal="130" workbookViewId="0">
      <selection activeCell="A2" sqref="A2"/>
    </sheetView>
  </sheetViews>
  <sheetFormatPr defaultRowHeight="15" x14ac:dyDescent="0.25"/>
  <cols>
    <col min="1" max="1" width="12" bestFit="1" customWidth="1"/>
    <col min="2" max="2" width="16.85546875" bestFit="1" customWidth="1"/>
    <col min="3" max="3" width="15.85546875" bestFit="1" customWidth="1"/>
    <col min="4" max="4" width="23.85546875" bestFit="1" customWidth="1"/>
    <col min="5" max="5" width="13.5703125" bestFit="1" customWidth="1"/>
    <col min="6" max="6" width="9.42578125" bestFit="1" customWidth="1"/>
  </cols>
  <sheetData>
    <row r="1" spans="1:6" ht="17.25" x14ac:dyDescent="0.25">
      <c r="A1" s="1" t="s">
        <v>29</v>
      </c>
      <c r="B1" s="2"/>
      <c r="C1" s="2"/>
      <c r="D1" s="2"/>
      <c r="E1" s="2"/>
      <c r="F1" s="2"/>
    </row>
    <row r="2" spans="1:6" x14ac:dyDescent="0.25">
      <c r="A2" s="20" t="s">
        <v>35</v>
      </c>
      <c r="B2" s="20" t="s">
        <v>36</v>
      </c>
      <c r="C2" s="20" t="s">
        <v>37</v>
      </c>
      <c r="D2" s="20" t="s">
        <v>38</v>
      </c>
      <c r="E2" s="20" t="s">
        <v>39</v>
      </c>
      <c r="F2" s="20" t="s">
        <v>39</v>
      </c>
    </row>
    <row r="3" spans="1:6" x14ac:dyDescent="0.25">
      <c r="A3" t="s">
        <v>28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</row>
    <row r="4" spans="1:6" x14ac:dyDescent="0.25">
      <c r="B4" s="19"/>
      <c r="E4" s="18" t="str">
        <f>IF(B4="","",WEEKNUM(B4,1))</f>
        <v/>
      </c>
      <c r="F4" s="18" t="str">
        <f t="shared" ref="F4:F15" si="0">IF(B4="","",TEXT(B4,"mmmm"))</f>
        <v/>
      </c>
    </row>
    <row r="5" spans="1:6" x14ac:dyDescent="0.25">
      <c r="B5" s="16"/>
      <c r="E5" s="18" t="str">
        <f t="shared" ref="E4:E15" si="1">IF(B5="","",WEEKNUM(B5,1))</f>
        <v/>
      </c>
      <c r="F5" s="18" t="str">
        <f t="shared" si="0"/>
        <v/>
      </c>
    </row>
    <row r="6" spans="1:6" x14ac:dyDescent="0.25">
      <c r="B6" s="16"/>
      <c r="E6" s="18" t="str">
        <f t="shared" si="1"/>
        <v/>
      </c>
      <c r="F6" s="18" t="str">
        <f t="shared" si="0"/>
        <v/>
      </c>
    </row>
    <row r="7" spans="1:6" x14ac:dyDescent="0.25">
      <c r="B7" s="16"/>
      <c r="E7" s="18" t="str">
        <f t="shared" si="1"/>
        <v/>
      </c>
      <c r="F7" s="18" t="str">
        <f t="shared" si="0"/>
        <v/>
      </c>
    </row>
    <row r="8" spans="1:6" x14ac:dyDescent="0.25">
      <c r="B8" s="16"/>
      <c r="E8" s="18" t="str">
        <f t="shared" si="1"/>
        <v/>
      </c>
      <c r="F8" s="18" t="str">
        <f t="shared" si="0"/>
        <v/>
      </c>
    </row>
    <row r="9" spans="1:6" x14ac:dyDescent="0.25">
      <c r="B9" s="16"/>
      <c r="E9" s="18" t="str">
        <f t="shared" si="1"/>
        <v/>
      </c>
      <c r="F9" s="18" t="str">
        <f t="shared" si="0"/>
        <v/>
      </c>
    </row>
    <row r="10" spans="1:6" x14ac:dyDescent="0.25">
      <c r="E10" t="str">
        <f t="shared" si="1"/>
        <v/>
      </c>
      <c r="F10" t="str">
        <f t="shared" si="0"/>
        <v/>
      </c>
    </row>
    <row r="11" spans="1:6" x14ac:dyDescent="0.25">
      <c r="E11" t="str">
        <f t="shared" si="1"/>
        <v/>
      </c>
      <c r="F11" t="str">
        <f t="shared" si="0"/>
        <v/>
      </c>
    </row>
    <row r="12" spans="1:6" x14ac:dyDescent="0.25">
      <c r="E12" t="str">
        <f t="shared" si="1"/>
        <v/>
      </c>
      <c r="F12" t="str">
        <f t="shared" si="0"/>
        <v/>
      </c>
    </row>
    <row r="13" spans="1:6" x14ac:dyDescent="0.25">
      <c r="E13" t="str">
        <f t="shared" si="1"/>
        <v/>
      </c>
      <c r="F13" t="str">
        <f t="shared" si="0"/>
        <v/>
      </c>
    </row>
    <row r="14" spans="1:6" x14ac:dyDescent="0.25">
      <c r="E14" t="str">
        <f t="shared" si="1"/>
        <v/>
      </c>
      <c r="F14" t="str">
        <f t="shared" si="0"/>
        <v/>
      </c>
    </row>
    <row r="15" spans="1:6" x14ac:dyDescent="0.25">
      <c r="E15" t="str">
        <f t="shared" si="1"/>
        <v/>
      </c>
      <c r="F15" t="str">
        <f t="shared" si="0"/>
        <v/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796F-EF0E-46CE-A206-24A9886FCFF0}">
  <dimension ref="A1:H13"/>
  <sheetViews>
    <sheetView workbookViewId="0">
      <selection activeCell="A2" sqref="A2"/>
    </sheetView>
  </sheetViews>
  <sheetFormatPr defaultRowHeight="15" x14ac:dyDescent="0.25"/>
  <cols>
    <col min="1" max="1" width="20.85546875" bestFit="1" customWidth="1"/>
    <col min="2" max="3" width="35.28515625" customWidth="1"/>
    <col min="4" max="4" width="13.85546875" bestFit="1" customWidth="1"/>
    <col min="5" max="5" width="17.7109375" bestFit="1" customWidth="1"/>
    <col min="6" max="6" width="16" bestFit="1" customWidth="1"/>
    <col min="7" max="7" width="18.85546875" bestFit="1" customWidth="1"/>
    <col min="8" max="8" width="16.5703125" bestFit="1" customWidth="1"/>
  </cols>
  <sheetData>
    <row r="1" spans="1:8" ht="17.25" x14ac:dyDescent="0.25">
      <c r="A1" s="1" t="s">
        <v>40</v>
      </c>
      <c r="B1" s="2"/>
      <c r="C1" s="2"/>
      <c r="D1" s="2"/>
      <c r="E1" s="2"/>
      <c r="F1" s="2"/>
      <c r="G1" s="2"/>
      <c r="H1" s="2"/>
    </row>
    <row r="2" spans="1:8" x14ac:dyDescent="0.25">
      <c r="A2" s="43" t="s">
        <v>48</v>
      </c>
      <c r="B2" s="43" t="s">
        <v>49</v>
      </c>
      <c r="C2" s="43" t="s">
        <v>50</v>
      </c>
      <c r="D2" s="43" t="s">
        <v>51</v>
      </c>
      <c r="E2" s="43" t="s">
        <v>52</v>
      </c>
      <c r="F2" s="43" t="s">
        <v>39</v>
      </c>
      <c r="G2" s="43" t="s">
        <v>53</v>
      </c>
      <c r="H2" s="43" t="s">
        <v>54</v>
      </c>
    </row>
    <row r="3" spans="1:8" x14ac:dyDescent="0.25">
      <c r="A3" s="16" t="s">
        <v>41</v>
      </c>
      <c r="B3" s="16" t="s">
        <v>42</v>
      </c>
      <c r="C3" s="16" t="s">
        <v>43</v>
      </c>
      <c r="D3" s="16" t="s">
        <v>44</v>
      </c>
      <c r="E3" s="16" t="s">
        <v>45</v>
      </c>
      <c r="F3" s="16" t="s">
        <v>46</v>
      </c>
      <c r="G3" s="16" t="s">
        <v>47</v>
      </c>
      <c r="H3" s="16" t="s">
        <v>31</v>
      </c>
    </row>
    <row r="4" spans="1:8" x14ac:dyDescent="0.25">
      <c r="A4" s="19"/>
      <c r="B4" s="16"/>
      <c r="C4" s="16"/>
      <c r="D4" s="19"/>
      <c r="E4" s="19"/>
      <c r="F4" s="18" t="str">
        <f t="shared" ref="F4" si="0">IF(OR(D4="",E4=""),"",E4-D4)</f>
        <v/>
      </c>
      <c r="G4" s="16"/>
      <c r="H4" s="16"/>
    </row>
    <row r="5" spans="1:8" x14ac:dyDescent="0.25">
      <c r="A5" s="19"/>
      <c r="B5" s="16"/>
      <c r="C5" s="16"/>
      <c r="D5" s="19"/>
      <c r="E5" s="19"/>
      <c r="F5" s="18" t="str">
        <f t="shared" ref="F5:F13" si="1">IF(OR(D5="",E5=""),"",E5-D5)</f>
        <v/>
      </c>
      <c r="G5" s="16"/>
      <c r="H5" s="16"/>
    </row>
    <row r="6" spans="1:8" x14ac:dyDescent="0.25">
      <c r="A6" s="19"/>
      <c r="B6" s="16"/>
      <c r="C6" s="16"/>
      <c r="D6" s="19"/>
      <c r="E6" s="19"/>
      <c r="F6" s="18" t="str">
        <f t="shared" si="1"/>
        <v/>
      </c>
      <c r="G6" s="16"/>
      <c r="H6" s="16"/>
    </row>
    <row r="7" spans="1:8" x14ac:dyDescent="0.25">
      <c r="A7" s="19"/>
      <c r="B7" s="16"/>
      <c r="C7" s="16"/>
      <c r="D7" s="19"/>
      <c r="E7" s="19"/>
      <c r="F7" s="18" t="str">
        <f t="shared" si="1"/>
        <v/>
      </c>
      <c r="G7" s="16"/>
      <c r="H7" s="16"/>
    </row>
    <row r="8" spans="1:8" x14ac:dyDescent="0.25">
      <c r="A8" s="19"/>
      <c r="B8" s="16"/>
      <c r="C8" s="16"/>
      <c r="D8" s="19"/>
      <c r="E8" s="19"/>
      <c r="F8" s="18" t="str">
        <f t="shared" si="1"/>
        <v/>
      </c>
      <c r="G8" s="16"/>
      <c r="H8" s="16"/>
    </row>
    <row r="9" spans="1:8" x14ac:dyDescent="0.25">
      <c r="A9" s="19"/>
      <c r="B9" s="16"/>
      <c r="C9" s="16"/>
      <c r="D9" s="19"/>
      <c r="E9" s="19"/>
      <c r="F9" s="18" t="str">
        <f t="shared" si="1"/>
        <v/>
      </c>
      <c r="G9" s="16"/>
      <c r="H9" s="16"/>
    </row>
    <row r="10" spans="1:8" x14ac:dyDescent="0.25">
      <c r="A10" s="19"/>
      <c r="B10" s="16"/>
      <c r="C10" s="16"/>
      <c r="D10" s="19"/>
      <c r="E10" s="19"/>
      <c r="F10" s="18" t="str">
        <f t="shared" si="1"/>
        <v/>
      </c>
      <c r="G10" s="16"/>
      <c r="H10" s="16"/>
    </row>
    <row r="11" spans="1:8" x14ac:dyDescent="0.25">
      <c r="A11" s="19"/>
      <c r="B11" s="16"/>
      <c r="C11" s="16"/>
      <c r="D11" s="19"/>
      <c r="E11" s="19"/>
      <c r="F11" s="18" t="str">
        <f t="shared" si="1"/>
        <v/>
      </c>
      <c r="G11" s="16"/>
      <c r="H11" s="16"/>
    </row>
    <row r="12" spans="1:8" x14ac:dyDescent="0.25">
      <c r="A12" s="19"/>
      <c r="B12" s="16"/>
      <c r="C12" s="16"/>
      <c r="D12" s="19"/>
      <c r="E12" s="19"/>
      <c r="F12" s="18" t="str">
        <f t="shared" si="1"/>
        <v/>
      </c>
      <c r="G12" s="16"/>
      <c r="H12" s="16"/>
    </row>
    <row r="13" spans="1:8" x14ac:dyDescent="0.25">
      <c r="A13" s="19"/>
      <c r="B13" s="16"/>
      <c r="C13" s="16"/>
      <c r="D13" s="19"/>
      <c r="E13" s="19"/>
      <c r="F13" s="18" t="str">
        <f t="shared" si="1"/>
        <v/>
      </c>
      <c r="G13" s="16"/>
      <c r="H13" s="16"/>
    </row>
  </sheetData>
  <mergeCells count="1">
    <mergeCell ref="A1:H1"/>
  </mergeCells>
  <dataValidations count="1">
    <dataValidation type="list" allowBlank="1" showInputMessage="1" showErrorMessage="1" sqref="H4:H13" xr:uid="{C539A5B6-A848-4042-85ED-F139907335F5}">
      <formula1>"Em Andamento, Pendente,Não Iniciado,Cocluido"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5997-3152-4D5A-A731-5D1EF9360559}">
  <dimension ref="A1:O13"/>
  <sheetViews>
    <sheetView showGridLines="0" workbookViewId="0">
      <selection activeCell="A2" sqref="A2:O2"/>
    </sheetView>
  </sheetViews>
  <sheetFormatPr defaultRowHeight="15" x14ac:dyDescent="0.25"/>
  <cols>
    <col min="1" max="1" width="16.28515625" bestFit="1" customWidth="1"/>
    <col min="2" max="2" width="18.140625" bestFit="1" customWidth="1"/>
    <col min="3" max="3" width="21.28515625" bestFit="1" customWidth="1"/>
    <col min="4" max="4" width="15.85546875" bestFit="1" customWidth="1"/>
    <col min="5" max="5" width="27" bestFit="1" customWidth="1"/>
    <col min="6" max="6" width="24.7109375" bestFit="1" customWidth="1"/>
    <col min="7" max="7" width="19" bestFit="1" customWidth="1"/>
    <col min="8" max="8" width="24.140625" bestFit="1" customWidth="1"/>
    <col min="9" max="9" width="26.42578125" bestFit="1" customWidth="1"/>
    <col min="10" max="10" width="20.5703125" bestFit="1" customWidth="1"/>
    <col min="11" max="11" width="21.85546875" bestFit="1" customWidth="1"/>
    <col min="12" max="12" width="22.28515625" bestFit="1" customWidth="1"/>
    <col min="13" max="13" width="21.5703125" bestFit="1" customWidth="1"/>
    <col min="14" max="14" width="24.7109375" bestFit="1" customWidth="1"/>
    <col min="15" max="15" width="24" bestFit="1" customWidth="1"/>
  </cols>
  <sheetData>
    <row r="1" spans="1:15" ht="17.25" x14ac:dyDescent="0.25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4" t="s">
        <v>55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15" x14ac:dyDescent="0.25">
      <c r="A3" t="s">
        <v>43</v>
      </c>
      <c r="B3" t="s">
        <v>56</v>
      </c>
      <c r="C3" t="s">
        <v>57</v>
      </c>
      <c r="D3" t="s">
        <v>58</v>
      </c>
      <c r="E3" t="s">
        <v>69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</row>
    <row r="4" spans="1:15" x14ac:dyDescent="0.25">
      <c r="B4" s="27"/>
      <c r="C4" s="27"/>
      <c r="D4" s="27"/>
      <c r="E4" s="27"/>
      <c r="F4" s="27"/>
      <c r="G4" s="28">
        <f>SUM(Tabela5[[#This Row],[PAGO]:[SALDO DE CONTRATOS]])</f>
        <v>0</v>
      </c>
      <c r="H4" s="28">
        <f>Tabela5[[#This Row],[VALOR ORÇADO]]-Tabela5[[#This Row],[COMPROMETIDO]]</f>
        <v>0</v>
      </c>
      <c r="I4" s="28">
        <f>Tabela5[[#This Row],[VALOR ATUALIZADO]]-Tabela5[[#This Row],[COMPROMETIDO]]</f>
        <v>0</v>
      </c>
      <c r="J4" s="27"/>
      <c r="K4" s="28">
        <f>Tabela5[[#This Row],[PREV. FINANCEIRA]]+Tabela5[[#This Row],[PAGO]]</f>
        <v>0</v>
      </c>
      <c r="L4" s="28">
        <f>Tabela5[[#This Row],[VALOR ORÇADO]]-Tabela5[[#This Row],[CUSTO AO TÉRMINO]]</f>
        <v>0</v>
      </c>
      <c r="M4" s="29">
        <f>IFERROR(Tabela5[[#This Row],[DESVIO NOMINAL R$]]/Tabela5[[#This Row],[VALOR ORÇADO]],0)</f>
        <v>0</v>
      </c>
      <c r="N4" s="28">
        <f>Tabela5[[#This Row],[VALOR ATUALIZADO]]-Tabela5[[#This Row],[CUSTO AO TÉRMINO]]</f>
        <v>0</v>
      </c>
      <c r="O4" s="30">
        <f>IFERROR(Tabela5[[#This Row],[DESVIO CORRIGIDO R$]]/Tabela5[[#This Row],[VALOR ATUALIZADO]],0)</f>
        <v>0</v>
      </c>
    </row>
    <row r="5" spans="1:15" x14ac:dyDescent="0.25">
      <c r="B5" s="27"/>
      <c r="C5" s="27"/>
      <c r="D5" s="27"/>
      <c r="E5" s="27"/>
      <c r="F5" s="27"/>
      <c r="G5" s="28">
        <f>SUM(Tabela5[[#This Row],[PAGO]:[SALDO DE CONTRATOS]])</f>
        <v>0</v>
      </c>
      <c r="H5" s="28">
        <f>Tabela5[[#This Row],[VALOR ORÇADO]]-Tabela5[[#This Row],[COMPROMETIDO]]</f>
        <v>0</v>
      </c>
      <c r="I5" s="28">
        <f>Tabela5[[#This Row],[VALOR ATUALIZADO]]-Tabela5[[#This Row],[COMPROMETIDO]]</f>
        <v>0</v>
      </c>
      <c r="J5" s="27"/>
      <c r="K5" s="28">
        <f>Tabela5[[#This Row],[PREV. FINANCEIRA]]+Tabela5[[#This Row],[PAGO]]</f>
        <v>0</v>
      </c>
      <c r="L5" s="28">
        <f>Tabela5[[#This Row],[VALOR ORÇADO]]-Tabela5[[#This Row],[CUSTO AO TÉRMINO]]</f>
        <v>0</v>
      </c>
      <c r="M5" s="29">
        <f>IFERROR(Tabela5[[#This Row],[DESVIO NOMINAL R$]]/Tabela5[[#This Row],[VALOR ORÇADO]],0)</f>
        <v>0</v>
      </c>
      <c r="N5" s="28">
        <f>Tabela5[[#This Row],[VALOR ATUALIZADO]]-Tabela5[[#This Row],[CUSTO AO TÉRMINO]]</f>
        <v>0</v>
      </c>
      <c r="O5" s="30">
        <f>IFERROR(Tabela5[[#This Row],[DESVIO CORRIGIDO R$]]/Tabela5[[#This Row],[VALOR ATUALIZADO]],0)</f>
        <v>0</v>
      </c>
    </row>
    <row r="6" spans="1:15" x14ac:dyDescent="0.25">
      <c r="B6" s="27"/>
      <c r="C6" s="27"/>
      <c r="D6" s="27"/>
      <c r="E6" s="27"/>
      <c r="F6" s="27"/>
      <c r="G6" s="28">
        <f>SUM(Tabela5[[#This Row],[PAGO]:[SALDO DE CONTRATOS]])</f>
        <v>0</v>
      </c>
      <c r="H6" s="28">
        <f>Tabela5[[#This Row],[VALOR ORÇADO]]-Tabela5[[#This Row],[COMPROMETIDO]]</f>
        <v>0</v>
      </c>
      <c r="I6" s="28">
        <f>Tabela5[[#This Row],[VALOR ATUALIZADO]]-Tabela5[[#This Row],[COMPROMETIDO]]</f>
        <v>0</v>
      </c>
      <c r="J6" s="27"/>
      <c r="K6" s="28">
        <f>Tabela5[[#This Row],[PREV. FINANCEIRA]]+Tabela5[[#This Row],[PAGO]]</f>
        <v>0</v>
      </c>
      <c r="L6" s="28">
        <f>Tabela5[[#This Row],[VALOR ORÇADO]]-Tabela5[[#This Row],[CUSTO AO TÉRMINO]]</f>
        <v>0</v>
      </c>
      <c r="M6" s="29">
        <f>IFERROR(Tabela5[[#This Row],[DESVIO NOMINAL R$]]/Tabela5[[#This Row],[VALOR ORÇADO]],0)</f>
        <v>0</v>
      </c>
      <c r="N6" s="28">
        <f>Tabela5[[#This Row],[VALOR ATUALIZADO]]-Tabela5[[#This Row],[CUSTO AO TÉRMINO]]</f>
        <v>0</v>
      </c>
      <c r="O6" s="30">
        <f>IFERROR(Tabela5[[#This Row],[DESVIO CORRIGIDO R$]]/Tabela5[[#This Row],[VALOR ATUALIZADO]],0)</f>
        <v>0</v>
      </c>
    </row>
    <row r="7" spans="1:15" x14ac:dyDescent="0.25">
      <c r="B7" s="27"/>
      <c r="C7" s="27"/>
      <c r="D7" s="27"/>
      <c r="E7" s="27"/>
      <c r="F7" s="27"/>
      <c r="G7" s="28">
        <f>SUM(Tabela5[[#This Row],[PAGO]:[SALDO DE CONTRATOS]])</f>
        <v>0</v>
      </c>
      <c r="H7" s="28">
        <f>Tabela5[[#This Row],[VALOR ORÇADO]]-Tabela5[[#This Row],[COMPROMETIDO]]</f>
        <v>0</v>
      </c>
      <c r="I7" s="28">
        <f>Tabela5[[#This Row],[VALOR ATUALIZADO]]-Tabela5[[#This Row],[COMPROMETIDO]]</f>
        <v>0</v>
      </c>
      <c r="J7" s="27"/>
      <c r="K7" s="28">
        <f>Tabela5[[#This Row],[PREV. FINANCEIRA]]+Tabela5[[#This Row],[PAGO]]</f>
        <v>0</v>
      </c>
      <c r="L7" s="28">
        <f>Tabela5[[#This Row],[VALOR ORÇADO]]-Tabela5[[#This Row],[CUSTO AO TÉRMINO]]</f>
        <v>0</v>
      </c>
      <c r="M7" s="29">
        <f>IFERROR(Tabela5[[#This Row],[DESVIO NOMINAL R$]]/Tabela5[[#This Row],[VALOR ORÇADO]],0)</f>
        <v>0</v>
      </c>
      <c r="N7" s="28">
        <f>Tabela5[[#This Row],[VALOR ATUALIZADO]]-Tabela5[[#This Row],[CUSTO AO TÉRMINO]]</f>
        <v>0</v>
      </c>
      <c r="O7" s="30">
        <f>IFERROR(Tabela5[[#This Row],[DESVIO CORRIGIDO R$]]/Tabela5[[#This Row],[VALOR ATUALIZADO]],0)</f>
        <v>0</v>
      </c>
    </row>
    <row r="8" spans="1:15" x14ac:dyDescent="0.25">
      <c r="B8" s="27"/>
      <c r="C8" s="27"/>
      <c r="D8" s="27"/>
      <c r="E8" s="27"/>
      <c r="F8" s="27"/>
      <c r="G8" s="28">
        <f>SUM(Tabela5[[#This Row],[PAGO]:[SALDO DE CONTRATOS]])</f>
        <v>0</v>
      </c>
      <c r="H8" s="28">
        <f>Tabela5[[#This Row],[VALOR ORÇADO]]-Tabela5[[#This Row],[COMPROMETIDO]]</f>
        <v>0</v>
      </c>
      <c r="I8" s="28">
        <f>Tabela5[[#This Row],[VALOR ATUALIZADO]]-Tabela5[[#This Row],[COMPROMETIDO]]</f>
        <v>0</v>
      </c>
      <c r="J8" s="27"/>
      <c r="K8" s="28">
        <f>Tabela5[[#This Row],[PREV. FINANCEIRA]]+Tabela5[[#This Row],[PAGO]]</f>
        <v>0</v>
      </c>
      <c r="L8" s="28">
        <f>Tabela5[[#This Row],[VALOR ORÇADO]]-Tabela5[[#This Row],[CUSTO AO TÉRMINO]]</f>
        <v>0</v>
      </c>
      <c r="M8" s="29">
        <f>IFERROR(Tabela5[[#This Row],[DESVIO NOMINAL R$]]/Tabela5[[#This Row],[VALOR ORÇADO]],0)</f>
        <v>0</v>
      </c>
      <c r="N8" s="28">
        <f>Tabela5[[#This Row],[VALOR ATUALIZADO]]-Tabela5[[#This Row],[CUSTO AO TÉRMINO]]</f>
        <v>0</v>
      </c>
      <c r="O8" s="30">
        <f>IFERROR(Tabela5[[#This Row],[DESVIO CORRIGIDO R$]]/Tabela5[[#This Row],[VALOR ATUALIZADO]],0)</f>
        <v>0</v>
      </c>
    </row>
    <row r="9" spans="1:15" x14ac:dyDescent="0.25">
      <c r="B9" s="27"/>
      <c r="C9" s="27"/>
      <c r="D9" s="27"/>
      <c r="E9" s="27"/>
      <c r="F9" s="27"/>
      <c r="G9" s="28">
        <f>SUM(Tabela5[[#This Row],[PAGO]:[SALDO DE CONTRATOS]])</f>
        <v>0</v>
      </c>
      <c r="H9" s="28">
        <f>Tabela5[[#This Row],[VALOR ORÇADO]]-Tabela5[[#This Row],[COMPROMETIDO]]</f>
        <v>0</v>
      </c>
      <c r="I9" s="28">
        <f>Tabela5[[#This Row],[VALOR ATUALIZADO]]-Tabela5[[#This Row],[COMPROMETIDO]]</f>
        <v>0</v>
      </c>
      <c r="J9" s="27"/>
      <c r="K9" s="28">
        <f>Tabela5[[#This Row],[PREV. FINANCEIRA]]+Tabela5[[#This Row],[PAGO]]</f>
        <v>0</v>
      </c>
      <c r="L9" s="28">
        <f>Tabela5[[#This Row],[VALOR ORÇADO]]-Tabela5[[#This Row],[CUSTO AO TÉRMINO]]</f>
        <v>0</v>
      </c>
      <c r="M9" s="29">
        <f>IFERROR(Tabela5[[#This Row],[DESVIO NOMINAL R$]]/Tabela5[[#This Row],[VALOR ORÇADO]],0)</f>
        <v>0</v>
      </c>
      <c r="N9" s="28">
        <f>Tabela5[[#This Row],[VALOR ATUALIZADO]]-Tabela5[[#This Row],[CUSTO AO TÉRMINO]]</f>
        <v>0</v>
      </c>
      <c r="O9" s="30">
        <f>IFERROR(Tabela5[[#This Row],[DESVIO CORRIGIDO R$]]/Tabela5[[#This Row],[VALOR ATUALIZADO]],0)</f>
        <v>0</v>
      </c>
    </row>
    <row r="10" spans="1:15" x14ac:dyDescent="0.25">
      <c r="B10" s="27"/>
      <c r="C10" s="27"/>
      <c r="D10" s="27"/>
      <c r="E10" s="27"/>
      <c r="F10" s="27"/>
      <c r="G10" s="28">
        <f>SUM(Tabela5[[#This Row],[PAGO]:[SALDO DE CONTRATOS]])</f>
        <v>0</v>
      </c>
      <c r="H10" s="28">
        <f>Tabela5[[#This Row],[VALOR ORÇADO]]-Tabela5[[#This Row],[COMPROMETIDO]]</f>
        <v>0</v>
      </c>
      <c r="I10" s="28">
        <f>Tabela5[[#This Row],[VALOR ATUALIZADO]]-Tabela5[[#This Row],[COMPROMETIDO]]</f>
        <v>0</v>
      </c>
      <c r="J10" s="27"/>
      <c r="K10" s="28">
        <f>Tabela5[[#This Row],[PREV. FINANCEIRA]]+Tabela5[[#This Row],[PAGO]]</f>
        <v>0</v>
      </c>
      <c r="L10" s="28">
        <f>Tabela5[[#This Row],[VALOR ORÇADO]]-Tabela5[[#This Row],[CUSTO AO TÉRMINO]]</f>
        <v>0</v>
      </c>
      <c r="M10" s="29">
        <f>IFERROR(Tabela5[[#This Row],[DESVIO NOMINAL R$]]/Tabela5[[#This Row],[VALOR ORÇADO]],0)</f>
        <v>0</v>
      </c>
      <c r="N10" s="28">
        <f>Tabela5[[#This Row],[VALOR ATUALIZADO]]-Tabela5[[#This Row],[CUSTO AO TÉRMINO]]</f>
        <v>0</v>
      </c>
      <c r="O10" s="30">
        <f>IFERROR(Tabela5[[#This Row],[DESVIO CORRIGIDO R$]]/Tabela5[[#This Row],[VALOR ATUALIZADO]],0)</f>
        <v>0</v>
      </c>
    </row>
    <row r="11" spans="1:15" x14ac:dyDescent="0.25">
      <c r="B11" s="27"/>
      <c r="C11" s="27"/>
      <c r="D11" s="27"/>
      <c r="E11" s="27"/>
      <c r="F11" s="27"/>
      <c r="G11" s="28">
        <f>SUM(Tabela5[[#This Row],[PAGO]:[SALDO DE CONTRATOS]])</f>
        <v>0</v>
      </c>
      <c r="H11" s="28">
        <f>Tabela5[[#This Row],[VALOR ORÇADO]]-Tabela5[[#This Row],[COMPROMETIDO]]</f>
        <v>0</v>
      </c>
      <c r="I11" s="28">
        <f>Tabela5[[#This Row],[VALOR ATUALIZADO]]-Tabela5[[#This Row],[COMPROMETIDO]]</f>
        <v>0</v>
      </c>
      <c r="J11" s="27"/>
      <c r="K11" s="28">
        <f>Tabela5[[#This Row],[PREV. FINANCEIRA]]+Tabela5[[#This Row],[PAGO]]</f>
        <v>0</v>
      </c>
      <c r="L11" s="28">
        <f>Tabela5[[#This Row],[VALOR ORÇADO]]-Tabela5[[#This Row],[CUSTO AO TÉRMINO]]</f>
        <v>0</v>
      </c>
      <c r="M11" s="29">
        <f>IFERROR(Tabela5[[#This Row],[DESVIO NOMINAL R$]]/Tabela5[[#This Row],[VALOR ORÇADO]],0)</f>
        <v>0</v>
      </c>
      <c r="N11" s="28">
        <f>Tabela5[[#This Row],[VALOR ATUALIZADO]]-Tabela5[[#This Row],[CUSTO AO TÉRMINO]]</f>
        <v>0</v>
      </c>
      <c r="O11" s="30">
        <f>IFERROR(Tabela5[[#This Row],[DESVIO CORRIGIDO R$]]/Tabela5[[#This Row],[VALOR ATUALIZADO]],0)</f>
        <v>0</v>
      </c>
    </row>
    <row r="12" spans="1:15" x14ac:dyDescent="0.25">
      <c r="B12" s="27"/>
      <c r="C12" s="27"/>
      <c r="D12" s="27"/>
      <c r="E12" s="27"/>
      <c r="F12" s="27"/>
      <c r="G12" s="28">
        <f>SUM(Tabela5[[#This Row],[PAGO]:[SALDO DE CONTRATOS]])</f>
        <v>0</v>
      </c>
      <c r="H12" s="28">
        <f>Tabela5[[#This Row],[VALOR ORÇADO]]-Tabela5[[#This Row],[COMPROMETIDO]]</f>
        <v>0</v>
      </c>
      <c r="I12" s="28">
        <f>Tabela5[[#This Row],[VALOR ATUALIZADO]]-Tabela5[[#This Row],[COMPROMETIDO]]</f>
        <v>0</v>
      </c>
      <c r="J12" s="27"/>
      <c r="K12" s="28">
        <f>Tabela5[[#This Row],[PREV. FINANCEIRA]]+Tabela5[[#This Row],[PAGO]]</f>
        <v>0</v>
      </c>
      <c r="L12" s="28">
        <f>Tabela5[[#This Row],[VALOR ORÇADO]]-Tabela5[[#This Row],[CUSTO AO TÉRMINO]]</f>
        <v>0</v>
      </c>
      <c r="M12" s="29">
        <f>IFERROR(Tabela5[[#This Row],[DESVIO NOMINAL R$]]/Tabela5[[#This Row],[VALOR ORÇADO]],0)</f>
        <v>0</v>
      </c>
      <c r="N12" s="28">
        <f>Tabela5[[#This Row],[VALOR ATUALIZADO]]-Tabela5[[#This Row],[CUSTO AO TÉRMINO]]</f>
        <v>0</v>
      </c>
      <c r="O12" s="30">
        <f>IFERROR(Tabela5[[#This Row],[DESVIO CORRIGIDO R$]]/Tabela5[[#This Row],[VALOR ATUALIZADO]],0)</f>
        <v>0</v>
      </c>
    </row>
    <row r="13" spans="1:15" x14ac:dyDescent="0.25">
      <c r="B13" s="27"/>
      <c r="C13" s="27"/>
      <c r="D13" s="27"/>
      <c r="E13" s="27"/>
      <c r="F13" s="27"/>
      <c r="G13" s="28">
        <f>SUM(Tabela5[[#This Row],[PAGO]:[SALDO DE CONTRATOS]])</f>
        <v>0</v>
      </c>
      <c r="H13" s="28">
        <f>Tabela5[[#This Row],[VALOR ORÇADO]]-Tabela5[[#This Row],[COMPROMETIDO]]</f>
        <v>0</v>
      </c>
      <c r="I13" s="28">
        <f>Tabela5[[#This Row],[VALOR ATUALIZADO]]-Tabela5[[#This Row],[COMPROMETIDO]]</f>
        <v>0</v>
      </c>
      <c r="J13" s="27"/>
      <c r="K13" s="28">
        <f>Tabela5[[#This Row],[PREV. FINANCEIRA]]+Tabela5[[#This Row],[PAGO]]</f>
        <v>0</v>
      </c>
      <c r="L13" s="28">
        <f>Tabela5[[#This Row],[VALOR ORÇADO]]-Tabela5[[#This Row],[CUSTO AO TÉRMINO]]</f>
        <v>0</v>
      </c>
      <c r="M13" s="29">
        <f>IFERROR(Tabela5[[#This Row],[DESVIO NOMINAL R$]]/Tabela5[[#This Row],[VALOR ORÇADO]],0)</f>
        <v>0</v>
      </c>
      <c r="N13" s="28">
        <f>Tabela5[[#This Row],[VALOR ATUALIZADO]]-Tabela5[[#This Row],[CUSTO AO TÉRMINO]]</f>
        <v>0</v>
      </c>
      <c r="O13" s="30">
        <f>IFERROR(Tabela5[[#This Row],[DESVIO CORRIGIDO R$]]/Tabela5[[#This Row],[VALOR ATUALIZADO]],0)</f>
        <v>0</v>
      </c>
    </row>
  </sheetData>
  <mergeCells count="2">
    <mergeCell ref="A1:O1"/>
    <mergeCell ref="A2:O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3228-CAC5-4F62-8F36-D59B9A1DACBA}">
  <dimension ref="A1:D20"/>
  <sheetViews>
    <sheetView showGridLines="0" zoomScale="160" zoomScaleNormal="160" workbookViewId="0">
      <selection activeCell="A3" sqref="A3:D20"/>
    </sheetView>
  </sheetViews>
  <sheetFormatPr defaultRowHeight="15" x14ac:dyDescent="0.25"/>
  <cols>
    <col min="1" max="4" width="25" customWidth="1"/>
  </cols>
  <sheetData>
    <row r="1" spans="1:4" ht="17.25" x14ac:dyDescent="0.25">
      <c r="A1" s="1" t="s">
        <v>70</v>
      </c>
      <c r="B1" s="2"/>
      <c r="C1" s="2"/>
      <c r="D1" s="2"/>
    </row>
    <row r="2" spans="1:4" x14ac:dyDescent="0.25">
      <c r="A2" s="21" t="s">
        <v>71</v>
      </c>
      <c r="B2" s="22"/>
      <c r="C2" s="22"/>
      <c r="D2" s="23"/>
    </row>
    <row r="3" spans="1:4" x14ac:dyDescent="0.25">
      <c r="A3" s="31"/>
      <c r="B3" s="32"/>
      <c r="C3" s="32"/>
      <c r="D3" s="33"/>
    </row>
    <row r="4" spans="1:4" x14ac:dyDescent="0.25">
      <c r="A4" s="34"/>
      <c r="B4" s="2"/>
      <c r="C4" s="2"/>
      <c r="D4" s="35"/>
    </row>
    <row r="5" spans="1:4" x14ac:dyDescent="0.25">
      <c r="A5" s="34"/>
      <c r="B5" s="2"/>
      <c r="C5" s="2"/>
      <c r="D5" s="35"/>
    </row>
    <row r="6" spans="1:4" x14ac:dyDescent="0.25">
      <c r="A6" s="34"/>
      <c r="B6" s="2"/>
      <c r="C6" s="2"/>
      <c r="D6" s="35"/>
    </row>
    <row r="7" spans="1:4" x14ac:dyDescent="0.25">
      <c r="A7" s="34"/>
      <c r="B7" s="2"/>
      <c r="C7" s="2"/>
      <c r="D7" s="35"/>
    </row>
    <row r="8" spans="1:4" x14ac:dyDescent="0.25">
      <c r="A8" s="34"/>
      <c r="B8" s="2"/>
      <c r="C8" s="2"/>
      <c r="D8" s="35"/>
    </row>
    <row r="9" spans="1:4" x14ac:dyDescent="0.25">
      <c r="A9" s="34"/>
      <c r="B9" s="2"/>
      <c r="C9" s="2"/>
      <c r="D9" s="35"/>
    </row>
    <row r="10" spans="1:4" x14ac:dyDescent="0.25">
      <c r="A10" s="34"/>
      <c r="B10" s="2"/>
      <c r="C10" s="2"/>
      <c r="D10" s="35"/>
    </row>
    <row r="11" spans="1:4" x14ac:dyDescent="0.25">
      <c r="A11" s="34"/>
      <c r="B11" s="2"/>
      <c r="C11" s="2"/>
      <c r="D11" s="35"/>
    </row>
    <row r="12" spans="1:4" x14ac:dyDescent="0.25">
      <c r="A12" s="34"/>
      <c r="B12" s="2"/>
      <c r="C12" s="2"/>
      <c r="D12" s="35"/>
    </row>
    <row r="13" spans="1:4" x14ac:dyDescent="0.25">
      <c r="A13" s="34"/>
      <c r="B13" s="2"/>
      <c r="C13" s="2"/>
      <c r="D13" s="35"/>
    </row>
    <row r="14" spans="1:4" x14ac:dyDescent="0.25">
      <c r="A14" s="34"/>
      <c r="B14" s="2"/>
      <c r="C14" s="2"/>
      <c r="D14" s="35"/>
    </row>
    <row r="15" spans="1:4" x14ac:dyDescent="0.25">
      <c r="A15" s="34"/>
      <c r="B15" s="2"/>
      <c r="C15" s="2"/>
      <c r="D15" s="35"/>
    </row>
    <row r="16" spans="1:4" x14ac:dyDescent="0.25">
      <c r="A16" s="34"/>
      <c r="B16" s="2"/>
      <c r="C16" s="2"/>
      <c r="D16" s="35"/>
    </row>
    <row r="17" spans="1:4" x14ac:dyDescent="0.25">
      <c r="A17" s="34"/>
      <c r="B17" s="2"/>
      <c r="C17" s="2"/>
      <c r="D17" s="35"/>
    </row>
    <row r="18" spans="1:4" x14ac:dyDescent="0.25">
      <c r="A18" s="34"/>
      <c r="B18" s="2"/>
      <c r="C18" s="2"/>
      <c r="D18" s="35"/>
    </row>
    <row r="19" spans="1:4" x14ac:dyDescent="0.25">
      <c r="A19" s="34"/>
      <c r="B19" s="2"/>
      <c r="C19" s="2"/>
      <c r="D19" s="35"/>
    </row>
    <row r="20" spans="1:4" x14ac:dyDescent="0.25">
      <c r="A20" s="36"/>
      <c r="B20" s="37"/>
      <c r="C20" s="37"/>
      <c r="D20" s="38"/>
    </row>
  </sheetData>
  <mergeCells count="3">
    <mergeCell ref="A1:D1"/>
    <mergeCell ref="A2:D2"/>
    <mergeCell ref="A3:D2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176B-B40C-4A75-9176-C086E6C77166}">
  <dimension ref="A1:I11"/>
  <sheetViews>
    <sheetView showGridLines="0" tabSelected="1" workbookViewId="0">
      <selection activeCell="B17" sqref="B17"/>
    </sheetView>
  </sheetViews>
  <sheetFormatPr defaultRowHeight="15" x14ac:dyDescent="0.25"/>
  <cols>
    <col min="1" max="1" width="36.42578125" customWidth="1"/>
    <col min="2" max="2" width="64.140625" customWidth="1"/>
    <col min="3" max="3" width="21.140625" customWidth="1"/>
    <col min="4" max="4" width="22.42578125" customWidth="1"/>
    <col min="5" max="5" width="16.85546875" bestFit="1" customWidth="1"/>
    <col min="6" max="6" width="12.28515625" bestFit="1" customWidth="1"/>
    <col min="7" max="7" width="18.85546875" bestFit="1" customWidth="1"/>
    <col min="8" max="8" width="18.140625" bestFit="1" customWidth="1"/>
    <col min="9" max="9" width="14.140625" bestFit="1" customWidth="1"/>
  </cols>
  <sheetData>
    <row r="1" spans="1:9" ht="17.25" x14ac:dyDescent="0.25">
      <c r="A1" s="39" t="s">
        <v>76</v>
      </c>
      <c r="B1" s="39"/>
      <c r="C1" s="39"/>
      <c r="D1" s="39"/>
      <c r="E1" s="39"/>
      <c r="F1" s="39"/>
      <c r="G1" s="39"/>
      <c r="H1" s="39"/>
      <c r="I1" s="39"/>
    </row>
    <row r="2" spans="1:9" x14ac:dyDescent="0.25">
      <c r="A2" s="40" t="s">
        <v>72</v>
      </c>
      <c r="B2" s="41"/>
      <c r="C2" s="41"/>
      <c r="D2" s="41"/>
      <c r="E2" s="41"/>
      <c r="F2" s="41"/>
      <c r="G2" s="41"/>
      <c r="H2" s="41"/>
      <c r="I2" s="41"/>
    </row>
    <row r="3" spans="1:9" x14ac:dyDescent="0.25">
      <c r="A3" s="16" t="s">
        <v>73</v>
      </c>
      <c r="B3" s="16" t="s">
        <v>74</v>
      </c>
      <c r="C3" s="16" t="s">
        <v>44</v>
      </c>
      <c r="D3" s="16" t="s">
        <v>45</v>
      </c>
      <c r="E3" s="16" t="s">
        <v>78</v>
      </c>
      <c r="F3" s="16" t="s">
        <v>31</v>
      </c>
      <c r="G3" s="16" t="s">
        <v>47</v>
      </c>
      <c r="H3" s="16" t="s">
        <v>75</v>
      </c>
      <c r="I3" s="16" t="s">
        <v>77</v>
      </c>
    </row>
    <row r="4" spans="1:9" x14ac:dyDescent="0.25">
      <c r="C4" s="19"/>
      <c r="D4" s="19"/>
      <c r="E4" s="18" t="str">
        <f t="shared" ref="E4:E11" si="0">IF(OR(C4="",D4=""),"",D4-C4)</f>
        <v/>
      </c>
      <c r="F4" s="16"/>
    </row>
    <row r="5" spans="1:9" x14ac:dyDescent="0.25">
      <c r="C5" s="19"/>
      <c r="D5" s="19"/>
      <c r="E5" s="18" t="str">
        <f t="shared" si="0"/>
        <v/>
      </c>
      <c r="F5" s="16"/>
    </row>
    <row r="6" spans="1:9" x14ac:dyDescent="0.25">
      <c r="C6" s="19"/>
      <c r="D6" s="19"/>
      <c r="E6" s="18" t="str">
        <f t="shared" si="0"/>
        <v/>
      </c>
      <c r="F6" s="16"/>
    </row>
    <row r="7" spans="1:9" x14ac:dyDescent="0.25">
      <c r="C7" s="19"/>
      <c r="D7" s="19"/>
      <c r="E7" s="18" t="str">
        <f t="shared" si="0"/>
        <v/>
      </c>
      <c r="F7" s="16"/>
    </row>
    <row r="8" spans="1:9" x14ac:dyDescent="0.25">
      <c r="C8" s="19"/>
      <c r="D8" s="19"/>
      <c r="E8" s="18" t="str">
        <f t="shared" si="0"/>
        <v/>
      </c>
      <c r="F8" s="16"/>
    </row>
    <row r="9" spans="1:9" x14ac:dyDescent="0.25">
      <c r="C9" s="19"/>
      <c r="D9" s="19"/>
      <c r="E9" s="18" t="str">
        <f t="shared" si="0"/>
        <v/>
      </c>
      <c r="F9" s="16"/>
    </row>
    <row r="10" spans="1:9" x14ac:dyDescent="0.25">
      <c r="C10" s="19"/>
      <c r="D10" s="19"/>
      <c r="E10" s="18" t="str">
        <f t="shared" si="0"/>
        <v/>
      </c>
      <c r="F10" s="16"/>
    </row>
    <row r="11" spans="1:9" x14ac:dyDescent="0.25">
      <c r="C11" s="19"/>
      <c r="D11" s="19"/>
      <c r="E11" s="18" t="str">
        <f t="shared" si="0"/>
        <v/>
      </c>
      <c r="F11" s="16"/>
    </row>
  </sheetData>
  <mergeCells count="2">
    <mergeCell ref="A2:I2"/>
    <mergeCell ref="A1:I1"/>
  </mergeCells>
  <dataValidations count="2">
    <dataValidation type="list" allowBlank="1" showInputMessage="1" showErrorMessage="1" sqref="F4:F11" xr:uid="{51BD162F-C4B1-4AE0-AB7E-2F1189F611E7}">
      <formula1>"Em Andamento, Pendente,Não Iniciado,Cocluido"</formula1>
    </dataValidation>
    <dataValidation type="list" allowBlank="1" showInputMessage="1" showErrorMessage="1" sqref="I4:I11" xr:uid="{F7C6F5B1-74D2-4521-B502-E5D422E00BEE}">
      <formula1>"SIM"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CONFIG</vt:lpstr>
      <vt:lpstr>CAPA</vt:lpstr>
      <vt:lpstr>UNIDADES</vt:lpstr>
      <vt:lpstr>VISTORIAS</vt:lpstr>
      <vt:lpstr>DELIBERAÇÕES</vt:lpstr>
      <vt:lpstr>MFO</vt:lpstr>
      <vt:lpstr>PARECER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Nunes Da Cunha Monteiro</dc:creator>
  <cp:lastModifiedBy>Mateus Nunes Da Cunha Monteiro</cp:lastModifiedBy>
  <dcterms:created xsi:type="dcterms:W3CDTF">2026-05-29T21:14:11Z</dcterms:created>
  <dcterms:modified xsi:type="dcterms:W3CDTF">2026-05-29T22:26:31Z</dcterms:modified>
</cp:coreProperties>
</file>