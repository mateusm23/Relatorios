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nuscapital-my.sharepoint.com/personal/mateus_monteiro_trinusco_com_br/Documents/Área de Trabalho/TEMPORARIO/SEMANAL - ENTREGA/Relatorios/templates/"/>
    </mc:Choice>
  </mc:AlternateContent>
  <xr:revisionPtr revIDLastSave="122" documentId="11_C7687B5054A33544D9B01B6F03B42F07F57BE01D" xr6:coauthVersionLast="47" xr6:coauthVersionMax="47" xr10:uidLastSave="{002C6BB2-7FBF-4380-B4E1-D380137729AF}"/>
  <bookViews>
    <workbookView xWindow="-28920" yWindow="-120" windowWidth="29040" windowHeight="15720" xr2:uid="{00000000-000D-0000-FFFF-FFFF00000000}"/>
  </bookViews>
  <sheets>
    <sheet name="CONFIG" sheetId="1" r:id="rId1"/>
    <sheet name="CAPA" sheetId="2" r:id="rId2"/>
    <sheet name="UNIDADES" sheetId="3" r:id="rId3"/>
    <sheet name="VISTORIAS" sheetId="4" r:id="rId4"/>
    <sheet name="DELIBERAÇÕES" sheetId="5" r:id="rId5"/>
    <sheet name="MFO" sheetId="6" r:id="rId6"/>
    <sheet name="PARECER" sheetId="7" r:id="rId7"/>
    <sheet name="CHECK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G29" i="6"/>
  <c r="K29" i="6"/>
  <c r="G28" i="6"/>
  <c r="K28" i="6"/>
  <c r="N28" i="6"/>
  <c r="G27" i="6"/>
  <c r="K27" i="6"/>
  <c r="N27" i="6"/>
  <c r="G26" i="6"/>
  <c r="K26" i="6"/>
  <c r="G25" i="6"/>
  <c r="H25" i="6"/>
  <c r="K25" i="6"/>
  <c r="L25" i="6"/>
  <c r="N25" i="6"/>
  <c r="G24" i="6"/>
  <c r="K24" i="6"/>
  <c r="G23" i="6"/>
  <c r="K23" i="6"/>
  <c r="N23" i="6"/>
  <c r="G22" i="6"/>
  <c r="K22" i="6"/>
  <c r="G21" i="6"/>
  <c r="K21" i="6"/>
  <c r="G20" i="6"/>
  <c r="K20" i="6"/>
  <c r="G19" i="6"/>
  <c r="K19" i="6"/>
  <c r="G18" i="6"/>
  <c r="K18" i="6"/>
  <c r="G17" i="6"/>
  <c r="K17" i="6"/>
  <c r="G16" i="6"/>
  <c r="K16" i="6"/>
  <c r="G15" i="6"/>
  <c r="K15" i="6"/>
  <c r="G14" i="6"/>
  <c r="K14" i="6"/>
  <c r="E263" i="4"/>
  <c r="F263" i="4"/>
  <c r="E57" i="4"/>
  <c r="F57" i="4"/>
  <c r="E125" i="4"/>
  <c r="F125" i="4"/>
  <c r="E280" i="4"/>
  <c r="F280" i="4"/>
  <c r="E101" i="4"/>
  <c r="F101" i="4"/>
  <c r="E114" i="4"/>
  <c r="F114" i="4"/>
  <c r="E296" i="4"/>
  <c r="F296" i="4"/>
  <c r="E158" i="4"/>
  <c r="F158" i="4"/>
  <c r="E77" i="4"/>
  <c r="F77" i="4"/>
  <c r="E67" i="4"/>
  <c r="F67" i="4"/>
  <c r="E212" i="4"/>
  <c r="F212" i="4"/>
  <c r="E246" i="4"/>
  <c r="F246" i="4"/>
  <c r="E63" i="4"/>
  <c r="E219" i="4"/>
  <c r="F219" i="4"/>
  <c r="E78" i="4"/>
  <c r="F78" i="4"/>
  <c r="E138" i="4"/>
  <c r="F138" i="4"/>
  <c r="E179" i="4"/>
  <c r="F179" i="4"/>
  <c r="E182" i="4"/>
  <c r="F182" i="4"/>
  <c r="E233" i="4"/>
  <c r="F233" i="4"/>
  <c r="E34" i="4"/>
  <c r="F34" i="4"/>
  <c r="E68" i="4"/>
  <c r="F68" i="4"/>
  <c r="E98" i="4"/>
  <c r="F98" i="4"/>
  <c r="E242" i="4"/>
  <c r="F242" i="4"/>
  <c r="E55" i="4"/>
  <c r="F55" i="4"/>
  <c r="E189" i="4"/>
  <c r="F189" i="4"/>
  <c r="E186" i="4"/>
  <c r="F186" i="4"/>
  <c r="E278" i="4"/>
  <c r="F278" i="4"/>
  <c r="E113" i="4"/>
  <c r="F113" i="4"/>
  <c r="E193" i="4"/>
  <c r="F193" i="4"/>
  <c r="E155" i="4"/>
  <c r="F155" i="4"/>
  <c r="E130" i="4"/>
  <c r="F130" i="4"/>
  <c r="E111" i="4"/>
  <c r="F111" i="4"/>
  <c r="E116" i="4"/>
  <c r="F116" i="4"/>
  <c r="E139" i="4"/>
  <c r="F139" i="4"/>
  <c r="E44" i="4"/>
  <c r="F44" i="4"/>
  <c r="E199" i="4"/>
  <c r="F199" i="4"/>
  <c r="E27" i="4"/>
  <c r="F27" i="4"/>
  <c r="E166" i="4"/>
  <c r="F166" i="4"/>
  <c r="E259" i="4"/>
  <c r="F259" i="4"/>
  <c r="E221" i="4"/>
  <c r="F221" i="4"/>
  <c r="E96" i="4"/>
  <c r="F96" i="4"/>
  <c r="E265" i="4"/>
  <c r="F265" i="4"/>
  <c r="E203" i="4"/>
  <c r="F203" i="4"/>
  <c r="E33" i="4"/>
  <c r="F33" i="4"/>
  <c r="E283" i="4"/>
  <c r="F283" i="4"/>
  <c r="E43" i="4"/>
  <c r="F43" i="4"/>
  <c r="E239" i="4"/>
  <c r="F239" i="4"/>
  <c r="E23" i="4"/>
  <c r="F23" i="4"/>
  <c r="E231" i="4"/>
  <c r="F231" i="4"/>
  <c r="E204" i="4"/>
  <c r="F204" i="4"/>
  <c r="E39" i="4"/>
  <c r="F39" i="4"/>
  <c r="E173" i="4"/>
  <c r="F173" i="4"/>
  <c r="E163" i="4"/>
  <c r="F163" i="4"/>
  <c r="E142" i="4"/>
  <c r="F142" i="4"/>
  <c r="E185" i="4"/>
  <c r="F185" i="4"/>
  <c r="E112" i="4"/>
  <c r="F112" i="4"/>
  <c r="E227" i="4"/>
  <c r="F227" i="4"/>
  <c r="E250" i="4"/>
  <c r="F250" i="4"/>
  <c r="E222" i="4"/>
  <c r="F222" i="4"/>
  <c r="E50" i="4"/>
  <c r="F50" i="4"/>
  <c r="E187" i="4"/>
  <c r="F187" i="4"/>
  <c r="E104" i="4"/>
  <c r="F104" i="4"/>
  <c r="E119" i="4"/>
  <c r="F119" i="4"/>
  <c r="E42" i="4"/>
  <c r="F42" i="4"/>
  <c r="E275" i="4"/>
  <c r="F275" i="4"/>
  <c r="E276" i="4"/>
  <c r="F276" i="4"/>
  <c r="E6" i="4"/>
  <c r="F6" i="4"/>
  <c r="E244" i="4"/>
  <c r="F244" i="4"/>
  <c r="E232" i="4"/>
  <c r="F232" i="4"/>
  <c r="E71" i="4"/>
  <c r="F71" i="4"/>
  <c r="E253" i="4"/>
  <c r="F253" i="4"/>
  <c r="E74" i="4"/>
  <c r="F74" i="4"/>
  <c r="E134" i="4"/>
  <c r="F134" i="4"/>
  <c r="E84" i="4"/>
  <c r="F84" i="4"/>
  <c r="E223" i="4"/>
  <c r="F223" i="4"/>
  <c r="E200" i="4"/>
  <c r="F200" i="4"/>
  <c r="E240" i="4"/>
  <c r="F240" i="4"/>
  <c r="E106" i="4"/>
  <c r="F106" i="4"/>
  <c r="K13" i="6"/>
  <c r="G13" i="6"/>
  <c r="K12" i="6"/>
  <c r="G12" i="6"/>
  <c r="K11" i="6"/>
  <c r="G11" i="6"/>
  <c r="K10" i="6"/>
  <c r="G10" i="6"/>
  <c r="K9" i="6"/>
  <c r="G9" i="6"/>
  <c r="K8" i="6"/>
  <c r="G8" i="6"/>
  <c r="K7" i="6"/>
  <c r="G7" i="6"/>
  <c r="K6" i="6"/>
  <c r="G6" i="6"/>
  <c r="K5" i="6"/>
  <c r="G5" i="6"/>
  <c r="K4" i="6"/>
  <c r="G4" i="6"/>
  <c r="F13" i="5"/>
  <c r="F12" i="5"/>
  <c r="F11" i="5"/>
  <c r="F10" i="5"/>
  <c r="F9" i="5"/>
  <c r="F8" i="5"/>
  <c r="F7" i="5"/>
  <c r="F6" i="5"/>
  <c r="F5" i="5"/>
  <c r="F4" i="5"/>
  <c r="F285" i="4"/>
  <c r="E285" i="4"/>
  <c r="F218" i="4"/>
  <c r="E218" i="4"/>
  <c r="F97" i="4"/>
  <c r="E97" i="4"/>
  <c r="F277" i="4"/>
  <c r="E277" i="4"/>
  <c r="F88" i="4"/>
  <c r="E88" i="4"/>
  <c r="F54" i="4"/>
  <c r="E54" i="4"/>
  <c r="F129" i="4"/>
  <c r="E129" i="4"/>
  <c r="F154" i="4"/>
  <c r="E154" i="4"/>
  <c r="F245" i="4"/>
  <c r="E245" i="4"/>
  <c r="F234" i="4"/>
  <c r="E234" i="4"/>
  <c r="B13" i="2"/>
  <c r="B12" i="2"/>
  <c r="B10" i="2"/>
  <c r="B9" i="2"/>
  <c r="E11" i="8"/>
  <c r="E10" i="8"/>
  <c r="E9" i="8"/>
  <c r="E8" i="8"/>
  <c r="E7" i="8"/>
  <c r="E6" i="8"/>
  <c r="E5" i="8"/>
  <c r="E4" i="8"/>
  <c r="L27" i="6" l="1"/>
  <c r="I25" i="6"/>
  <c r="N19" i="6"/>
  <c r="I26" i="6"/>
  <c r="M27" i="6"/>
  <c r="N21" i="6"/>
  <c r="N29" i="6"/>
  <c r="N24" i="6"/>
  <c r="I29" i="6"/>
  <c r="O29" i="6"/>
  <c r="H29" i="6"/>
  <c r="L29" i="6"/>
  <c r="M29" i="6" s="1"/>
  <c r="I28" i="6"/>
  <c r="L28" i="6"/>
  <c r="M28" i="6" s="1"/>
  <c r="O28" i="6"/>
  <c r="H28" i="6"/>
  <c r="I24" i="6"/>
  <c r="O27" i="6"/>
  <c r="I27" i="6"/>
  <c r="H27" i="6"/>
  <c r="N26" i="6"/>
  <c r="O26" i="6" s="1"/>
  <c r="L26" i="6"/>
  <c r="H26" i="6"/>
  <c r="M25" i="6"/>
  <c r="M26" i="6"/>
  <c r="O24" i="6"/>
  <c r="O25" i="6"/>
  <c r="O23" i="6"/>
  <c r="N18" i="6"/>
  <c r="H24" i="6"/>
  <c r="L24" i="6"/>
  <c r="M24" i="6" s="1"/>
  <c r="N22" i="6"/>
  <c r="I23" i="6"/>
  <c r="H23" i="6"/>
  <c r="L23" i="6"/>
  <c r="M23" i="6" s="1"/>
  <c r="L22" i="6"/>
  <c r="M22" i="6" s="1"/>
  <c r="I22" i="6"/>
  <c r="H22" i="6"/>
  <c r="N15" i="6"/>
  <c r="O15" i="6" s="1"/>
  <c r="L21" i="6"/>
  <c r="M21" i="6" s="1"/>
  <c r="I21" i="6"/>
  <c r="H21" i="6"/>
  <c r="I17" i="6"/>
  <c r="N17" i="6"/>
  <c r="N20" i="6"/>
  <c r="O20" i="6" s="1"/>
  <c r="L20" i="6"/>
  <c r="M20" i="6" s="1"/>
  <c r="I20" i="6"/>
  <c r="H20" i="6"/>
  <c r="L19" i="6"/>
  <c r="I19" i="6"/>
  <c r="H19" i="6"/>
  <c r="O19" i="6"/>
  <c r="N16" i="6"/>
  <c r="L18" i="6"/>
  <c r="L17" i="6"/>
  <c r="M17" i="6" s="1"/>
  <c r="H17" i="6"/>
  <c r="H18" i="6"/>
  <c r="I18" i="6"/>
  <c r="L16" i="6"/>
  <c r="M16" i="6" s="1"/>
  <c r="H16" i="6"/>
  <c r="I16" i="6"/>
  <c r="L15" i="6"/>
  <c r="M15" i="6" s="1"/>
  <c r="H15" i="6"/>
  <c r="I15" i="6"/>
  <c r="I14" i="6"/>
  <c r="N14" i="6"/>
  <c r="O14" i="6" s="1"/>
  <c r="H14" i="6"/>
  <c r="L14" i="6"/>
  <c r="M14" i="6" s="1"/>
  <c r="L7" i="6"/>
  <c r="N8" i="6"/>
  <c r="N7" i="6"/>
  <c r="N4" i="6"/>
  <c r="N12" i="6"/>
  <c r="F63" i="4"/>
  <c r="E181" i="4"/>
  <c r="F181" i="4"/>
  <c r="E64" i="4"/>
  <c r="F64" i="4"/>
  <c r="E115" i="4"/>
  <c r="F115" i="4"/>
  <c r="E75" i="4"/>
  <c r="F75" i="4"/>
  <c r="E107" i="4"/>
  <c r="F107" i="4"/>
  <c r="E284" i="4"/>
  <c r="F284" i="4"/>
  <c r="E51" i="4"/>
  <c r="F51" i="4"/>
  <c r="E176" i="4"/>
  <c r="F176" i="4"/>
  <c r="E143" i="4"/>
  <c r="F143" i="4"/>
  <c r="E286" i="4"/>
  <c r="F286" i="4"/>
  <c r="E188" i="4"/>
  <c r="F188" i="4"/>
  <c r="E258" i="4"/>
  <c r="F258" i="4"/>
  <c r="E36" i="4"/>
  <c r="F36" i="4"/>
  <c r="E21" i="4"/>
  <c r="F21" i="4"/>
  <c r="E270" i="4"/>
  <c r="F270" i="4"/>
  <c r="E272" i="4"/>
  <c r="F272" i="4"/>
  <c r="E208" i="4"/>
  <c r="F208" i="4"/>
  <c r="E10" i="4"/>
  <c r="F10" i="4"/>
  <c r="E164" i="4"/>
  <c r="F164" i="4"/>
  <c r="E120" i="4"/>
  <c r="F120" i="4"/>
  <c r="E144" i="4"/>
  <c r="F144" i="4"/>
  <c r="E89" i="4"/>
  <c r="F89" i="4"/>
  <c r="E76" i="4"/>
  <c r="F76" i="4"/>
  <c r="E178" i="4"/>
  <c r="F178" i="4"/>
  <c r="E201" i="4"/>
  <c r="F201" i="4"/>
  <c r="E213" i="4"/>
  <c r="F213" i="4"/>
  <c r="E287" i="4"/>
  <c r="F287" i="4"/>
  <c r="E47" i="4"/>
  <c r="F47" i="4"/>
  <c r="E126" i="4"/>
  <c r="F126" i="4"/>
  <c r="E241" i="4"/>
  <c r="F241" i="4"/>
  <c r="E251" i="4"/>
  <c r="F251" i="4"/>
  <c r="E24" i="4"/>
  <c r="F24" i="4"/>
  <c r="E28" i="4"/>
  <c r="F28" i="4"/>
  <c r="E180" i="4"/>
  <c r="F180" i="4"/>
  <c r="E175" i="4"/>
  <c r="F175" i="4"/>
  <c r="E235" i="4"/>
  <c r="F235" i="4"/>
  <c r="E58" i="4"/>
  <c r="F58" i="4"/>
  <c r="E65" i="4"/>
  <c r="F65" i="4"/>
  <c r="E216" i="4"/>
  <c r="F216" i="4"/>
  <c r="E109" i="4"/>
  <c r="F109" i="4"/>
  <c r="E168" i="4"/>
  <c r="F168" i="4"/>
  <c r="E48" i="4"/>
  <c r="F48" i="4"/>
  <c r="E209" i="4"/>
  <c r="F209" i="4"/>
  <c r="E123" i="4"/>
  <c r="F123" i="4"/>
  <c r="E4" i="4"/>
  <c r="F4" i="4"/>
  <c r="E211" i="4"/>
  <c r="F211" i="4"/>
  <c r="E136" i="4"/>
  <c r="F136" i="4"/>
  <c r="E85" i="4"/>
  <c r="F85" i="4"/>
  <c r="E298" i="4"/>
  <c r="F298" i="4"/>
  <c r="E268" i="4"/>
  <c r="F268" i="4"/>
  <c r="E160" i="4"/>
  <c r="F160" i="4"/>
  <c r="E152" i="4"/>
  <c r="F152" i="4"/>
  <c r="E59" i="4"/>
  <c r="F59" i="4"/>
  <c r="E25" i="4"/>
  <c r="F25" i="4"/>
  <c r="E18" i="4"/>
  <c r="F18" i="4"/>
  <c r="E53" i="4"/>
  <c r="F53" i="4"/>
  <c r="E171" i="4"/>
  <c r="F171" i="4"/>
  <c r="E83" i="4"/>
  <c r="F83" i="4"/>
  <c r="E261" i="4"/>
  <c r="F261" i="4"/>
  <c r="E128" i="4"/>
  <c r="F128" i="4"/>
  <c r="E79" i="4"/>
  <c r="F79" i="4"/>
  <c r="E205" i="4"/>
  <c r="F205" i="4"/>
  <c r="E172" i="4"/>
  <c r="F172" i="4"/>
  <c r="E13" i="4"/>
  <c r="F13" i="4"/>
  <c r="E248" i="4"/>
  <c r="F248" i="4"/>
  <c r="E118" i="4"/>
  <c r="F118" i="4"/>
  <c r="E292" i="4"/>
  <c r="F292" i="4"/>
  <c r="E117" i="4"/>
  <c r="F117" i="4"/>
  <c r="E214" i="4"/>
  <c r="F214" i="4"/>
  <c r="E60" i="4"/>
  <c r="F60" i="4"/>
  <c r="E49" i="4"/>
  <c r="F49" i="4"/>
  <c r="E174" i="4"/>
  <c r="F174" i="4"/>
  <c r="E31" i="4"/>
  <c r="F31" i="4"/>
  <c r="E202" i="4"/>
  <c r="F202" i="4"/>
  <c r="E102" i="4"/>
  <c r="F102" i="4"/>
  <c r="E147" i="4"/>
  <c r="F147" i="4"/>
  <c r="E41" i="4"/>
  <c r="F41" i="4"/>
  <c r="E266" i="4"/>
  <c r="F266" i="4"/>
  <c r="E167" i="4"/>
  <c r="F167" i="4"/>
  <c r="E14" i="4"/>
  <c r="F14" i="4"/>
  <c r="E271" i="4"/>
  <c r="F271" i="4"/>
  <c r="E148" i="4"/>
  <c r="F148" i="4"/>
  <c r="E37" i="4"/>
  <c r="F37" i="4"/>
  <c r="E99" i="4"/>
  <c r="F99" i="4"/>
  <c r="E299" i="4"/>
  <c r="F299" i="4"/>
  <c r="E190" i="4"/>
  <c r="F190" i="4"/>
  <c r="E56" i="4"/>
  <c r="F56" i="4"/>
  <c r="E237" i="4"/>
  <c r="F237" i="4"/>
  <c r="E197" i="4"/>
  <c r="F197" i="4"/>
  <c r="E249" i="4"/>
  <c r="F249" i="4"/>
  <c r="E19" i="4"/>
  <c r="F19" i="4"/>
  <c r="F281" i="4"/>
  <c r="F289" i="4"/>
  <c r="F291" i="4"/>
  <c r="E243" i="4"/>
  <c r="E135" i="4"/>
  <c r="F184" i="4"/>
  <c r="F279" i="4"/>
  <c r="E17" i="4"/>
  <c r="F22" i="4"/>
  <c r="E146" i="4"/>
  <c r="E230" i="4"/>
  <c r="F45" i="4"/>
  <c r="E290" i="4"/>
  <c r="F256" i="4"/>
  <c r="F52" i="4"/>
  <c r="E295" i="4"/>
  <c r="F124" i="4"/>
  <c r="E169" i="4"/>
  <c r="E32" i="4"/>
  <c r="F32" i="4"/>
  <c r="E149" i="4"/>
  <c r="F149" i="4"/>
  <c r="E255" i="4"/>
  <c r="F255" i="4"/>
  <c r="E46" i="4"/>
  <c r="F46" i="4"/>
  <c r="E293" i="4"/>
  <c r="F293" i="4"/>
  <c r="E121" i="4"/>
  <c r="F121" i="4"/>
  <c r="E86" i="4"/>
  <c r="F86" i="4"/>
  <c r="E177" i="4"/>
  <c r="F177" i="4"/>
  <c r="E35" i="4"/>
  <c r="F35" i="4"/>
  <c r="E183" i="4"/>
  <c r="F183" i="4"/>
  <c r="E262" i="4"/>
  <c r="F262" i="4"/>
  <c r="E153" i="4"/>
  <c r="F153" i="4"/>
  <c r="E150" i="4"/>
  <c r="F150" i="4"/>
  <c r="E151" i="4"/>
  <c r="F151" i="4"/>
  <c r="E206" i="4"/>
  <c r="F206" i="4"/>
  <c r="E288" i="4"/>
  <c r="F288" i="4"/>
  <c r="E156" i="4"/>
  <c r="F156" i="4"/>
  <c r="E100" i="4"/>
  <c r="F100" i="4"/>
  <c r="E170" i="4"/>
  <c r="F170" i="4"/>
  <c r="E108" i="4"/>
  <c r="F108" i="4"/>
  <c r="E294" i="4"/>
  <c r="F294" i="4"/>
  <c r="E229" i="4"/>
  <c r="F229" i="4"/>
  <c r="E210" i="4"/>
  <c r="F210" i="4"/>
  <c r="E80" i="4"/>
  <c r="F80" i="4"/>
  <c r="E61" i="4"/>
  <c r="F61" i="4"/>
  <c r="E122" i="4"/>
  <c r="F122" i="4"/>
  <c r="E8" i="4"/>
  <c r="F8" i="4"/>
  <c r="E9" i="4"/>
  <c r="F9" i="4"/>
  <c r="E194" i="4"/>
  <c r="F194" i="4"/>
  <c r="E15" i="4"/>
  <c r="F15" i="4"/>
  <c r="E29" i="4"/>
  <c r="F29" i="4"/>
  <c r="E105" i="4"/>
  <c r="F105" i="4"/>
  <c r="E132" i="4"/>
  <c r="F132" i="4"/>
  <c r="E224" i="4"/>
  <c r="F224" i="4"/>
  <c r="E62" i="4"/>
  <c r="F62" i="4"/>
  <c r="E274" i="4"/>
  <c r="F274" i="4"/>
  <c r="E157" i="4"/>
  <c r="F157" i="4"/>
  <c r="E281" i="4"/>
  <c r="E289" i="4"/>
  <c r="E291" i="4"/>
  <c r="E26" i="4"/>
  <c r="F243" i="4"/>
  <c r="E95" i="4"/>
  <c r="F95" i="4"/>
  <c r="E145" i="4"/>
  <c r="E127" i="4"/>
  <c r="E238" i="4"/>
  <c r="F5" i="4"/>
  <c r="E267" i="4"/>
  <c r="E225" i="4"/>
  <c r="F17" i="4"/>
  <c r="E87" i="4"/>
  <c r="F146" i="4"/>
  <c r="F207" i="4"/>
  <c r="E45" i="4"/>
  <c r="E69" i="4"/>
  <c r="F290" i="4"/>
  <c r="E52" i="4"/>
  <c r="F70" i="4"/>
  <c r="E124" i="4"/>
  <c r="F162" i="4"/>
  <c r="E257" i="4"/>
  <c r="F26" i="4"/>
  <c r="E66" i="4"/>
  <c r="F66" i="4"/>
  <c r="E191" i="4"/>
  <c r="F191" i="4"/>
  <c r="E195" i="4"/>
  <c r="F195" i="4"/>
  <c r="E103" i="4"/>
  <c r="F103" i="4"/>
  <c r="F135" i="4"/>
  <c r="E184" i="4"/>
  <c r="F145" i="4"/>
  <c r="F127" i="4"/>
  <c r="F238" i="4"/>
  <c r="E5" i="4"/>
  <c r="F267" i="4"/>
  <c r="E16" i="4"/>
  <c r="F16" i="4"/>
  <c r="E12" i="4"/>
  <c r="F12" i="4"/>
  <c r="E141" i="4"/>
  <c r="F141" i="4"/>
  <c r="E82" i="4"/>
  <c r="F82" i="4"/>
  <c r="E282" i="4"/>
  <c r="F282" i="4"/>
  <c r="E165" i="4"/>
  <c r="F165" i="4"/>
  <c r="E297" i="4"/>
  <c r="F297" i="4"/>
  <c r="E159" i="4"/>
  <c r="F159" i="4"/>
  <c r="E279" i="4"/>
  <c r="F225" i="4"/>
  <c r="E22" i="4"/>
  <c r="F87" i="4"/>
  <c r="E207" i="4"/>
  <c r="F230" i="4"/>
  <c r="F69" i="4"/>
  <c r="E256" i="4"/>
  <c r="E70" i="4"/>
  <c r="F295" i="4"/>
  <c r="E162" i="4"/>
  <c r="F169" i="4"/>
  <c r="F257" i="4"/>
  <c r="E73" i="4"/>
  <c r="F73" i="4"/>
  <c r="E38" i="4"/>
  <c r="F38" i="4"/>
  <c r="E217" i="4"/>
  <c r="F217" i="4"/>
  <c r="E215" i="4"/>
  <c r="F215" i="4"/>
  <c r="E269" i="4"/>
  <c r="F269" i="4"/>
  <c r="E133" i="4"/>
  <c r="F133" i="4"/>
  <c r="E30" i="4"/>
  <c r="F30" i="4"/>
  <c r="F90" i="4"/>
  <c r="E90" i="4"/>
  <c r="E192" i="4"/>
  <c r="F192" i="4"/>
  <c r="E81" i="4"/>
  <c r="F81" i="4"/>
  <c r="E20" i="4"/>
  <c r="F20" i="4"/>
  <c r="E198" i="4"/>
  <c r="F198" i="4"/>
  <c r="E137" i="4"/>
  <c r="F137" i="4"/>
  <c r="E40" i="4"/>
  <c r="F40" i="4"/>
  <c r="E226" i="4"/>
  <c r="F226" i="4"/>
  <c r="E254" i="4"/>
  <c r="F254" i="4"/>
  <c r="E196" i="4"/>
  <c r="F196" i="4"/>
  <c r="E91" i="4"/>
  <c r="F91" i="4"/>
  <c r="E260" i="4"/>
  <c r="F260" i="4"/>
  <c r="E110" i="4"/>
  <c r="F110" i="4"/>
  <c r="E161" i="4"/>
  <c r="F161" i="4"/>
  <c r="E11" i="4"/>
  <c r="F11" i="4"/>
  <c r="E131" i="4"/>
  <c r="F131" i="4"/>
  <c r="E92" i="4"/>
  <c r="F92" i="4"/>
  <c r="E72" i="4"/>
  <c r="F72" i="4"/>
  <c r="E140" i="4"/>
  <c r="F140" i="4"/>
  <c r="E228" i="4"/>
  <c r="F228" i="4"/>
  <c r="E252" i="4"/>
  <c r="F252" i="4"/>
  <c r="E264" i="4"/>
  <c r="F264" i="4"/>
  <c r="E236" i="4"/>
  <c r="F236" i="4"/>
  <c r="E247" i="4"/>
  <c r="F247" i="4"/>
  <c r="E273" i="4"/>
  <c r="F273" i="4"/>
  <c r="E93" i="4"/>
  <c r="F93" i="4"/>
  <c r="E7" i="4"/>
  <c r="F7" i="4"/>
  <c r="E94" i="4"/>
  <c r="F94" i="4"/>
  <c r="F220" i="4"/>
  <c r="E220" i="4"/>
  <c r="L12" i="6"/>
  <c r="M12" i="6" s="1"/>
  <c r="I12" i="6"/>
  <c r="H12" i="6"/>
  <c r="N11" i="6"/>
  <c r="O11" i="6" s="1"/>
  <c r="L11" i="6"/>
  <c r="M11" i="6" s="1"/>
  <c r="N10" i="6"/>
  <c r="O10" i="6" s="1"/>
  <c r="L10" i="6"/>
  <c r="M10" i="6" s="1"/>
  <c r="I10" i="6"/>
  <c r="L9" i="6"/>
  <c r="M9" i="6" s="1"/>
  <c r="I9" i="6"/>
  <c r="L6" i="6"/>
  <c r="M6" i="6" s="1"/>
  <c r="H6" i="6"/>
  <c r="N5" i="6"/>
  <c r="O5" i="6" s="1"/>
  <c r="L5" i="6"/>
  <c r="M5" i="6" s="1"/>
  <c r="H5" i="6"/>
  <c r="I11" i="6"/>
  <c r="H11" i="6"/>
  <c r="H10" i="6"/>
  <c r="N9" i="6"/>
  <c r="O9" i="6" s="1"/>
  <c r="H9" i="6"/>
  <c r="I6" i="6"/>
  <c r="L8" i="6"/>
  <c r="M8" i="6" s="1"/>
  <c r="I8" i="6"/>
  <c r="H8" i="6"/>
  <c r="N6" i="6"/>
  <c r="O6" i="6" s="1"/>
  <c r="I5" i="6"/>
  <c r="I7" i="6"/>
  <c r="H7" i="6"/>
  <c r="L4" i="6"/>
  <c r="M4" i="6" s="1"/>
  <c r="I4" i="6"/>
  <c r="H4" i="6"/>
  <c r="N13" i="6"/>
  <c r="O13" i="6" s="1"/>
  <c r="L13" i="6"/>
  <c r="M13" i="6" s="1"/>
  <c r="I13" i="6"/>
  <c r="H13" i="6"/>
  <c r="B14" i="2"/>
  <c r="O22" i="6" l="1"/>
  <c r="O21" i="6"/>
  <c r="O17" i="6"/>
  <c r="M18" i="6"/>
  <c r="O18" i="6"/>
  <c r="O16" i="6"/>
  <c r="M19" i="6"/>
  <c r="M7" i="6"/>
  <c r="O7" i="6"/>
  <c r="O8" i="6"/>
  <c r="O4" i="6"/>
  <c r="O12" i="6"/>
</calcChain>
</file>

<file path=xl/sharedStrings.xml><?xml version="1.0" encoding="utf-8"?>
<sst xmlns="http://schemas.openxmlformats.org/spreadsheetml/2006/main" count="1180" uniqueCount="357">
  <si>
    <t>CHECKLIST DE ÁREA COMUM</t>
  </si>
  <si>
    <t>Registre cada item de acompanhamento por área/local. DELTA é calculado automaticamente (dias entre 1º Prazo e Prazo Atual). STATUS = selecione da lista.</t>
  </si>
  <si>
    <t>ÁREA / LOCAL</t>
  </si>
  <si>
    <t>ITEM</t>
  </si>
  <si>
    <t>1º PRAZO</t>
  </si>
  <si>
    <t>PRAZO ATUAL</t>
  </si>
  <si>
    <t>DELTA</t>
  </si>
  <si>
    <t>STATUS</t>
  </si>
  <si>
    <t>RESPONSÁVEL</t>
  </si>
  <si>
    <t>OBSERVAÇÃO</t>
  </si>
  <si>
    <t>OCULTAR</t>
  </si>
  <si>
    <t>Hall / Entrada</t>
  </si>
  <si>
    <t>Limpeza do hall de entrada</t>
  </si>
  <si>
    <t>Equipe Limpeza</t>
  </si>
  <si>
    <t>Elétrica</t>
  </si>
  <si>
    <t>Iluminação de emergência — teste mensal</t>
  </si>
  <si>
    <t>Manutenção</t>
  </si>
  <si>
    <t>Todas testadas</t>
  </si>
  <si>
    <t>Elevadores</t>
  </si>
  <si>
    <t>Elevador — manutenção preventiva</t>
  </si>
  <si>
    <t>Empresa Elevador</t>
  </si>
  <si>
    <t>Certificado emitido</t>
  </si>
  <si>
    <t>Segurança</t>
  </si>
  <si>
    <t>Câmeras de segurança — gravação ativa</t>
  </si>
  <si>
    <t>TI/Segurança</t>
  </si>
  <si>
    <t>14 dias de gravação</t>
  </si>
  <si>
    <t>Área Verde</t>
  </si>
  <si>
    <t>Jardim — irrigação e poda semanal</t>
  </si>
  <si>
    <t>Pendente</t>
  </si>
  <si>
    <t>Jardinagem</t>
  </si>
  <si>
    <t>Reagendar semana 22</t>
  </si>
  <si>
    <t>Piscina</t>
  </si>
  <si>
    <t>Piscina Maint.</t>
  </si>
  <si>
    <t>pH fora do padrão</t>
  </si>
  <si>
    <t>Extintores — validade e recarga</t>
  </si>
  <si>
    <t>CIPA</t>
  </si>
  <si>
    <t>Rev. nov/25</t>
  </si>
  <si>
    <t>Circulação</t>
  </si>
  <si>
    <t>Corredores — lâmpadas e sensores</t>
  </si>
  <si>
    <t>3 sensores p/ troca</t>
  </si>
  <si>
    <t>CONFIGURAÇÕES — CATEGORIAS DE UNIDADES</t>
  </si>
  <si>
    <t xml:space="preserve">  Defina até 8 categorias. Serão as opções disponíveis na aba UNIDADES.</t>
  </si>
  <si>
    <t>CATEGORIA</t>
  </si>
  <si>
    <t>Aprovou Vistoria</t>
  </si>
  <si>
    <t>Liberado</t>
  </si>
  <si>
    <t>Estoque</t>
  </si>
  <si>
    <t>Restrição</t>
  </si>
  <si>
    <t>CAPA — RELATÓRIO SEMANAL DE OBRA</t>
  </si>
  <si>
    <t xml:space="preserve">  IDENTIFICAÇÃO DA OBRA</t>
  </si>
  <si>
    <t>OBRA</t>
  </si>
  <si>
    <t>RESIDENCIAL ARVOREDO</t>
  </si>
  <si>
    <t>CONSTRUTORA</t>
  </si>
  <si>
    <t>CONSTRUTORA NOVA ERA LTDA</t>
  </si>
  <si>
    <t>GERENCIADORA</t>
  </si>
  <si>
    <t>ENGENHEIRO</t>
  </si>
  <si>
    <t>Eng. Ricardo Alves</t>
  </si>
  <si>
    <t xml:space="preserve">  PERÍODO DO RELATÓRIO</t>
  </si>
  <si>
    <t>DATA INÍCIO</t>
  </si>
  <si>
    <t>DATA FIM</t>
  </si>
  <si>
    <t>SEMANA</t>
  </si>
  <si>
    <t xml:space="preserve">  AVANÇO DE ENTREGAS</t>
  </si>
  <si>
    <t>TOTAL APROVADAS</t>
  </si>
  <si>
    <t>TOTAL DISPONÍVEIS</t>
  </si>
  <si>
    <t>AVANÇO DE ENTREGAS</t>
  </si>
  <si>
    <t>MAPA DE UNIDADES</t>
  </si>
  <si>
    <t>Ex: Bloco 1 / Torre A</t>
  </si>
  <si>
    <t>Ex: 1  (Repetir P/ Cada Pav.)</t>
  </si>
  <si>
    <t>Ex: 01  (Só O Nº Final)</t>
  </si>
  <si>
    <t>Selecione Da Lista ▼</t>
  </si>
  <si>
    <t>BLOCO</t>
  </si>
  <si>
    <t>PAVIMENTO</t>
  </si>
  <si>
    <t>UNIDADE</t>
  </si>
  <si>
    <t>A-101</t>
  </si>
  <si>
    <t>A-104</t>
  </si>
  <si>
    <t>A-201</t>
  </si>
  <si>
    <t>A-202</t>
  </si>
  <si>
    <t>A-204</t>
  </si>
  <si>
    <t>A-301</t>
  </si>
  <si>
    <t>B-102</t>
  </si>
  <si>
    <t>B-103</t>
  </si>
  <si>
    <t>B-104</t>
  </si>
  <si>
    <t>B-201</t>
  </si>
  <si>
    <t>B-202</t>
  </si>
  <si>
    <t>B-203</t>
  </si>
  <si>
    <t>B-204</t>
  </si>
  <si>
    <t>B-302</t>
  </si>
  <si>
    <t>B-303</t>
  </si>
  <si>
    <t>B-304</t>
  </si>
  <si>
    <t>B-401</t>
  </si>
  <si>
    <t>B-402</t>
  </si>
  <si>
    <t>B-403</t>
  </si>
  <si>
    <t>B-404</t>
  </si>
  <si>
    <t>REGISTRO DE VISTORIAS</t>
  </si>
  <si>
    <t>Ex: Bloco 1 - 01</t>
  </si>
  <si>
    <t>Ex: 15/01/2025</t>
  </si>
  <si>
    <t>Selecione da lista ▼</t>
  </si>
  <si>
    <t>Preencher se Reprovada</t>
  </si>
  <si>
    <t>Automático</t>
  </si>
  <si>
    <t>DATA VISTORIA</t>
  </si>
  <si>
    <t>MOTIVO REPROVAÇÃO</t>
  </si>
  <si>
    <t>SEMANA Nº</t>
  </si>
  <si>
    <t>MÊS</t>
  </si>
  <si>
    <t>Reprovado</t>
  </si>
  <si>
    <t>Documentação pendente</t>
  </si>
  <si>
    <t>Não Compareceu</t>
  </si>
  <si>
    <t>Aprovado</t>
  </si>
  <si>
    <t>Janelas com folga</t>
  </si>
  <si>
    <t>REGISTRO DE DELIBERAÇÕES</t>
  </si>
  <si>
    <t>Texto Livre</t>
  </si>
  <si>
    <t>Descrição Da Demanda</t>
  </si>
  <si>
    <t>Ex: João Silva</t>
  </si>
  <si>
    <t>DATA CADASTRO</t>
  </si>
  <si>
    <t>TIPO</t>
  </si>
  <si>
    <t>DESCRIÇÃO</t>
  </si>
  <si>
    <t>DELTA DIAS</t>
  </si>
  <si>
    <t>Técnico</t>
  </si>
  <si>
    <t>Revisão e aprovação do projeto elétrico do Bloco B</t>
  </si>
  <si>
    <t>Concluído</t>
  </si>
  <si>
    <t>Correção de infiltração no pavimento 3 — Bloco A</t>
  </si>
  <si>
    <t>Gerência de Obra</t>
  </si>
  <si>
    <t>Operacional</t>
  </si>
  <si>
    <t>Reagendamento de vistorias reprovadas por acabamento</t>
  </si>
  <si>
    <t>Supervisão</t>
  </si>
  <si>
    <t>Adequação do sistema de ventilação — 4º e 5º pavimento</t>
  </si>
  <si>
    <t>Eng. Responsável</t>
  </si>
  <si>
    <t>Administrativo</t>
  </si>
  <si>
    <t>Entrega de manuais de uso às unidades aprovadas</t>
  </si>
  <si>
    <t>Adm. Obra</t>
  </si>
  <si>
    <t>Instalação de medidores individuais — Bloco A concluído</t>
  </si>
  <si>
    <t>Empreiteiro</t>
  </si>
  <si>
    <t>Pintura das áreas comuns — corredor e hall de entrada</t>
  </si>
  <si>
    <t>Equipe Pintura</t>
  </si>
  <si>
    <t>Em Andamento</t>
  </si>
  <si>
    <t>Limpeza técnica pré-vistoria — Bloco B pavimentos 3–5</t>
  </si>
  <si>
    <t>Terceirizada</t>
  </si>
  <si>
    <t>Jurídico</t>
  </si>
  <si>
    <t>Regularização do habite-se junto à prefeitura</t>
  </si>
  <si>
    <t>Adv. Jurídico</t>
  </si>
  <si>
    <t>Correção de trinca fachada lateral Bloco B — laudo estrutural</t>
  </si>
  <si>
    <t>Eng. Estrutural</t>
  </si>
  <si>
    <t>Monitoramento Financeiro de Obra. Preencha os campos em branco. Campos em azul claro são calculados automaticamente. Valores em R$.</t>
  </si>
  <si>
    <t>VALOR ORÇADO</t>
  </si>
  <si>
    <t>VALOR ATUALIZADO</t>
  </si>
  <si>
    <t>PAGO</t>
  </si>
  <si>
    <t>A PAGAR</t>
  </si>
  <si>
    <t>SALDO DE CONTRATOS</t>
  </si>
  <si>
    <t>COMPROMETIDO</t>
  </si>
  <si>
    <t>SALDO ORÇ. NOMINAL</t>
  </si>
  <si>
    <t>SALDO ORÇ. CORRIGIDO</t>
  </si>
  <si>
    <t>PREV. FINANCEIRA</t>
  </si>
  <si>
    <t>CUSTO AO TÉRMINO</t>
  </si>
  <si>
    <t>DESVIO NOMINAL R$</t>
  </si>
  <si>
    <t>DESVIO NOMINAL %</t>
  </si>
  <si>
    <t>DESVIO CORRIGIDO R$</t>
  </si>
  <si>
    <t>DESVIO CORRIGIDO %</t>
  </si>
  <si>
    <t>PARECER TÉCNICO</t>
  </si>
  <si>
    <t>Descreva abaixo o parecer técnico da semana.</t>
  </si>
  <si>
    <t>BLOCO A</t>
  </si>
  <si>
    <t>BLOCO B</t>
  </si>
  <si>
    <t>BLOCO C</t>
  </si>
  <si>
    <t>BLOCO D</t>
  </si>
  <si>
    <t>01</t>
  </si>
  <si>
    <t>02</t>
  </si>
  <si>
    <t>03</t>
  </si>
  <si>
    <t>04</t>
  </si>
  <si>
    <t>05</t>
  </si>
  <si>
    <t>A-1</t>
  </si>
  <si>
    <t>A-105</t>
  </si>
  <si>
    <t>A-99</t>
  </si>
  <si>
    <t>A-199</t>
  </si>
  <si>
    <t>A-106</t>
  </si>
  <si>
    <t>A-299</t>
  </si>
  <si>
    <t>A-399</t>
  </si>
  <si>
    <t>B-305</t>
  </si>
  <si>
    <t>A-107</t>
  </si>
  <si>
    <t>B-105</t>
  </si>
  <si>
    <t>B-205</t>
  </si>
  <si>
    <t>B-405</t>
  </si>
  <si>
    <t>A-499</t>
  </si>
  <si>
    <t>A-599</t>
  </si>
  <si>
    <t>B-306</t>
  </si>
  <si>
    <t>A-108</t>
  </si>
  <si>
    <t>B-106</t>
  </si>
  <si>
    <t>B-206</t>
  </si>
  <si>
    <t>B-406</t>
  </si>
  <si>
    <t>A-699</t>
  </si>
  <si>
    <t>A-799</t>
  </si>
  <si>
    <t>B-307</t>
  </si>
  <si>
    <t>A-109</t>
  </si>
  <si>
    <t>B-107</t>
  </si>
  <si>
    <t>B-207</t>
  </si>
  <si>
    <t>B-407</t>
  </si>
  <si>
    <t>A-899</t>
  </si>
  <si>
    <t>A-999</t>
  </si>
  <si>
    <t>B-308</t>
  </si>
  <si>
    <t>A-110</t>
  </si>
  <si>
    <t>B-108</t>
  </si>
  <si>
    <t>B-208</t>
  </si>
  <si>
    <t>B-408</t>
  </si>
  <si>
    <t>A-1099</t>
  </si>
  <si>
    <t>A-1199</t>
  </si>
  <si>
    <t>B-309</t>
  </si>
  <si>
    <t>A-111</t>
  </si>
  <si>
    <t>B-109</t>
  </si>
  <si>
    <t>B-209</t>
  </si>
  <si>
    <t>B-409</t>
  </si>
  <si>
    <t>A-1299</t>
  </si>
  <si>
    <t>A-1399</t>
  </si>
  <si>
    <t>B-310</t>
  </si>
  <si>
    <t>A-112</t>
  </si>
  <si>
    <t>B-110</t>
  </si>
  <si>
    <t>B-210</t>
  </si>
  <si>
    <t>B-410</t>
  </si>
  <si>
    <t>A-1499</t>
  </si>
  <si>
    <t>A-1599</t>
  </si>
  <si>
    <t>B-311</t>
  </si>
  <si>
    <t>A-113</t>
  </si>
  <si>
    <t>B-111</t>
  </si>
  <si>
    <t>B-211</t>
  </si>
  <si>
    <t>B-411</t>
  </si>
  <si>
    <t>A-1699</t>
  </si>
  <si>
    <t>A-1799</t>
  </si>
  <si>
    <t>B-312</t>
  </si>
  <si>
    <t>A-114</t>
  </si>
  <si>
    <t>B-112</t>
  </si>
  <si>
    <t>B-212</t>
  </si>
  <si>
    <t>B-412</t>
  </si>
  <si>
    <t>A-1899</t>
  </si>
  <si>
    <t>A-1999</t>
  </si>
  <si>
    <t>B-313</t>
  </si>
  <si>
    <t>A-115</t>
  </si>
  <si>
    <t>B-113</t>
  </si>
  <si>
    <t>B-213</t>
  </si>
  <si>
    <t>B-413</t>
  </si>
  <si>
    <t>A-2099</t>
  </si>
  <si>
    <t>A-2199</t>
  </si>
  <si>
    <t>B-314</t>
  </si>
  <si>
    <t>A-116</t>
  </si>
  <si>
    <t>B-114</t>
  </si>
  <si>
    <t>B-214</t>
  </si>
  <si>
    <t>B-414</t>
  </si>
  <si>
    <t>A-2299</t>
  </si>
  <si>
    <t>A-2399</t>
  </si>
  <si>
    <t>B-315</t>
  </si>
  <si>
    <t>A-117</t>
  </si>
  <si>
    <t>B-115</t>
  </si>
  <si>
    <t>B-215</t>
  </si>
  <si>
    <t>B-415</t>
  </si>
  <si>
    <t>A-2499</t>
  </si>
  <si>
    <t>A-2599</t>
  </si>
  <si>
    <t>B-316</t>
  </si>
  <si>
    <t>A-118</t>
  </si>
  <si>
    <t>B-116</t>
  </si>
  <si>
    <t>B-216</t>
  </si>
  <si>
    <t>B-416</t>
  </si>
  <si>
    <t>A-2699</t>
  </si>
  <si>
    <t>A-2799</t>
  </si>
  <si>
    <t>B-317</t>
  </si>
  <si>
    <t>A-119</t>
  </si>
  <si>
    <t>B-117</t>
  </si>
  <si>
    <t>B-217</t>
  </si>
  <si>
    <t>B-417</t>
  </si>
  <si>
    <t>A-2899</t>
  </si>
  <si>
    <t>A-2999</t>
  </si>
  <si>
    <t>B-318</t>
  </si>
  <si>
    <t>A-120</t>
  </si>
  <si>
    <t>B-118</t>
  </si>
  <si>
    <t>B-218</t>
  </si>
  <si>
    <t>B-418</t>
  </si>
  <si>
    <t>A-3099</t>
  </si>
  <si>
    <t>A-3199</t>
  </si>
  <si>
    <t>B-319</t>
  </si>
  <si>
    <t>A-121</t>
  </si>
  <si>
    <t>B-119</t>
  </si>
  <si>
    <t>B-219</t>
  </si>
  <si>
    <t>B-419</t>
  </si>
  <si>
    <t>A-3299</t>
  </si>
  <si>
    <t>A-3399</t>
  </si>
  <si>
    <t>B-320</t>
  </si>
  <si>
    <t>A-122</t>
  </si>
  <si>
    <t>B-120</t>
  </si>
  <si>
    <t>B-220</t>
  </si>
  <si>
    <t>B-420</t>
  </si>
  <si>
    <t>A-3499</t>
  </si>
  <si>
    <t>A-3599</t>
  </si>
  <si>
    <t>B-321</t>
  </si>
  <si>
    <t>A-123</t>
  </si>
  <si>
    <t>B-121</t>
  </si>
  <si>
    <t>B-221</t>
  </si>
  <si>
    <t>B-421</t>
  </si>
  <si>
    <t>A-3699</t>
  </si>
  <si>
    <t>A-3799</t>
  </si>
  <si>
    <t>B-322</t>
  </si>
  <si>
    <t>A-124</t>
  </si>
  <si>
    <t>B-122</t>
  </si>
  <si>
    <t>B-222</t>
  </si>
  <si>
    <t>B-422</t>
  </si>
  <si>
    <t>A-3899</t>
  </si>
  <si>
    <t>A-3999</t>
  </si>
  <si>
    <t>B-323</t>
  </si>
  <si>
    <t>A-125</t>
  </si>
  <si>
    <t>B-123</t>
  </si>
  <si>
    <t>B-223</t>
  </si>
  <si>
    <t>B-423</t>
  </si>
  <si>
    <t>A-4099</t>
  </si>
  <si>
    <t>A-4199</t>
  </si>
  <si>
    <t>B-324</t>
  </si>
  <si>
    <t>A-126</t>
  </si>
  <si>
    <t>B-124</t>
  </si>
  <si>
    <t>B-224</t>
  </si>
  <si>
    <t>SIM</t>
  </si>
  <si>
    <t>Retirar do relatório</t>
  </si>
  <si>
    <t>EQUIPE TECNICA ( GESTAO DE OBRA)</t>
  </si>
  <si>
    <t>CUSTAS OPERACIONAIS E OUTROS CUSTOS INDIRETOS</t>
  </si>
  <si>
    <t>INSTALACAO DO CANTEIRO / SERVICOS PRELIMINARES</t>
  </si>
  <si>
    <t>INFRA-ESTRUTURA</t>
  </si>
  <si>
    <t>SUPRAESTRUTURA</t>
  </si>
  <si>
    <t>PAREDES / VEDACOES</t>
  </si>
  <si>
    <t>ESQUADRIAS EM GERAL</t>
  </si>
  <si>
    <t>INSTALACOES ELETRICAS / TELEFONICAS / ANTENAS / SPDA / DADOS</t>
  </si>
  <si>
    <t>INSTALACOES HIDRAULICA / SANITARIA / GAS / INCENDIO</t>
  </si>
  <si>
    <t>INSTALACOES MECANICAS</t>
  </si>
  <si>
    <t>LOUCAS / METAIS / BANCADAS / ACESSORIOS</t>
  </si>
  <si>
    <t>IMPERMEABILIZACOES / TRATAMENTO TERMICO / ACUSTICO</t>
  </si>
  <si>
    <t>REVESTIMENTOS DE PAREDES INTERNAS E ARREMATES</t>
  </si>
  <si>
    <t>REVESTIMENTOS DE PAREDES EXTERNAS E ARREMATES</t>
  </si>
  <si>
    <t>REVESTIMENTOS DE TETOS / FORROS</t>
  </si>
  <si>
    <t>COBERTURAS</t>
  </si>
  <si>
    <t>PAVIMENTACAO</t>
  </si>
  <si>
    <t>VIDROS</t>
  </si>
  <si>
    <t>PINTURAS</t>
  </si>
  <si>
    <t>PAISAGISMO</t>
  </si>
  <si>
    <t>SERVICOS COMPLEMENTARES</t>
  </si>
  <si>
    <t>LIMPEZA DE OBRA / SERVICOS FINAIS</t>
  </si>
  <si>
    <t>FOLHA DE PAGAMENTO</t>
  </si>
  <si>
    <t>ADMINISTRACAO DE OBRA (CONSTRUTORA)</t>
  </si>
  <si>
    <t>CUSTO OBRA MASTERPLAN PARA A SPE</t>
  </si>
  <si>
    <t>MOBILIARIO DESIGN &amp; EQUIPAMENTOS (FF&amp;E)</t>
  </si>
  <si>
    <t>PH e nível de cloro</t>
  </si>
  <si>
    <t>A semana 21 apresentou avanço positivo no ciclo de vistorias do Residencial Arvoredo. 
Foram realizadas 12 vistorias no período, com taxa de aprovação de 75%. O Bloco A encontra-se em estágio avançado, com 80% das unidades aprovadas. 
O Bloco B demanda atenção especial nos pavimentos 4 e 5, onde há restrições por acabamento incompleto. As deliberações em aberto totalizam 4 itens, sendo 2 com prazo próximo ao encerramento do mês. Recomenda-se priorizar o reagendamento das vistorias reprovadas antes do fechamento de maio.</t>
  </si>
  <si>
    <t>Ex: 10/01/2026</t>
  </si>
  <si>
    <t>Ex: 20/01/2026</t>
  </si>
  <si>
    <t>Ex: 25/01/2026</t>
  </si>
  <si>
    <t>Mateus Monteiro</t>
  </si>
  <si>
    <t>Trinus Co.</t>
  </si>
  <si>
    <t>COR</t>
  </si>
  <si>
    <t>#217A3C</t>
  </si>
  <si>
    <t>#1A6EE8</t>
  </si>
  <si>
    <t>#E2E8F0</t>
  </si>
  <si>
    <t>#800000</t>
  </si>
  <si>
    <t>#FFCC66</t>
  </si>
  <si>
    <t>ABREV</t>
  </si>
  <si>
    <t>REST.</t>
  </si>
  <si>
    <t>REPROV.</t>
  </si>
  <si>
    <t>APROV</t>
  </si>
  <si>
    <t>LIB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</si>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</sst>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0&quot;%&quot;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10"/>
      <color rgb="FF1A2B45"/>
      <name val="Calibri"/>
      <family val="2"/>
    </font>
    <font>
      <sz val="10"/>
      <color rgb="FF374151"/>
      <name val="Calibri"/>
      <family val="2"/>
    </font>
    <font>
      <b/>
      <sz val="11"/>
      <color rgb="FF1A2B45"/>
      <name val="Calibri"/>
      <family val="2"/>
    </font>
    <font>
      <b/>
      <sz val="14"/>
      <color rgb="FFFFFFFF"/>
      <name val="Calibri"/>
      <family val="2"/>
    </font>
    <font>
      <b/>
      <sz val="9"/>
      <color theme="2" tint="-0.749992370372631"/>
      <name val="Calibri"/>
      <family val="2"/>
    </font>
    <font>
      <b/>
      <i/>
      <sz val="9"/>
      <color theme="2" tint="-0.749992370372631"/>
      <name val="Calibri"/>
      <family val="2"/>
    </font>
    <font>
      <sz val="11"/>
      <color rgb="FF1E293B"/>
      <name val="Calibri"/>
      <family val="2"/>
    </font>
    <font>
      <sz val="8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A2B45"/>
      </patternFill>
    </fill>
    <fill>
      <patternFill patternType="solid">
        <fgColor rgb="FF1B6FBF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1F5F9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217A3C"/>
        <bgColor indexed="64"/>
      </patternFill>
    </fill>
    <fill>
      <patternFill patternType="solid">
        <fgColor rgb="FF1A6EE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6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14" fontId="4" fillId="5" borderId="1" xfId="0" applyNumberFormat="1" applyFont="1" applyFill="1" applyBorder="1" applyAlignment="1">
      <alignment horizontal="left" vertical="center" indent="1"/>
    </xf>
    <xf numFmtId="14" fontId="4" fillId="6" borderId="1" xfId="0" applyNumberFormat="1" applyFont="1" applyFill="1" applyBorder="1" applyAlignment="1">
      <alignment horizontal="left" vertical="center" indent="1"/>
    </xf>
    <xf numFmtId="1" fontId="4" fillId="6" borderId="1" xfId="0" applyNumberFormat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7" fillId="7" borderId="0" xfId="0" applyFont="1" applyFill="1" applyAlignment="1">
      <alignment horizontal="center" vertical="center"/>
    </xf>
    <xf numFmtId="44" fontId="0" fillId="0" borderId="0" xfId="1" applyFont="1"/>
    <xf numFmtId="44" fontId="0" fillId="8" borderId="0" xfId="1" applyFont="1" applyFill="1"/>
    <xf numFmtId="165" fontId="0" fillId="8" borderId="0" xfId="2" applyNumberFormat="1" applyFont="1" applyFill="1" applyAlignment="1">
      <alignment horizontal="center"/>
    </xf>
    <xf numFmtId="165" fontId="0" fillId="8" borderId="0" xfId="2" applyNumberFormat="1" applyFont="1" applyFill="1"/>
    <xf numFmtId="0" fontId="8" fillId="7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center" vertical="center"/>
    </xf>
    <xf numFmtId="14" fontId="0" fillId="0" borderId="0" xfId="0" applyNumberFormat="1"/>
    <xf numFmtId="44" fontId="1" fillId="0" borderId="0" xfId="1"/>
    <xf numFmtId="44" fontId="1" fillId="8" borderId="0" xfId="1" applyFill="1"/>
    <xf numFmtId="165" fontId="1" fillId="8" borderId="0" xfId="2" applyNumberFormat="1" applyFill="1" applyAlignment="1">
      <alignment horizontal="center"/>
    </xf>
    <xf numFmtId="165" fontId="1" fillId="8" borderId="0" xfId="2" applyNumberFormat="1" applyFill="1"/>
    <xf numFmtId="0" fontId="11" fillId="9" borderId="1" xfId="0" applyFont="1" applyFill="1" applyBorder="1" applyAlignment="1">
      <alignment horizontal="left" vertical="center" indent="1"/>
    </xf>
    <xf numFmtId="0" fontId="11" fillId="10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left" vertical="center" indent="1"/>
    </xf>
    <xf numFmtId="0" fontId="12" fillId="11" borderId="1" xfId="0" applyFont="1" applyFill="1" applyBorder="1" applyAlignment="1">
      <alignment horizontal="left" vertical="center" indent="1"/>
    </xf>
    <xf numFmtId="0" fontId="11" fillId="12" borderId="1" xfId="0" applyFont="1" applyFill="1" applyBorder="1" applyAlignment="1">
      <alignment horizontal="left" vertical="center" indent="1"/>
    </xf>
    <xf numFmtId="0" fontId="11" fillId="13" borderId="1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0" fillId="0" borderId="3" xfId="0" applyBorder="1"/>
    <xf numFmtId="0" fontId="0" fillId="0" borderId="7" xfId="0" applyBorder="1"/>
    <xf numFmtId="0" fontId="8" fillId="7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9" fillId="5" borderId="2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8" fillId="7" borderId="8" xfId="0" applyFont="1" applyFill="1" applyBorder="1" applyAlignment="1">
      <alignment horizontal="left" vertical="center"/>
    </xf>
  </cellXfs>
  <cellStyles count="3">
    <cellStyle name="Moeda" xfId="1" builtinId="4"/>
    <cellStyle name="Normal" xfId="0" builtinId="0"/>
    <cellStyle name="Porcentagem" xfId="2" builtinId="5"/>
  </cellStyles>
  <dxfs count="43">
    <dxf>
      <font>
        <color rgb="FF9C0006"/>
      </font>
      <fill>
        <patternFill>
          <bgColor rgb="FFFFC7CE"/>
        </patternFill>
      </fill>
    </dxf>
    <dxf>
      <alignment horizontal="center" vertical="bottom"/>
    </dxf>
    <dxf>
      <fill>
        <patternFill patternType="solid">
          <fgColor indexed="64"/>
          <bgColor theme="3" tint="0.89999084444715716"/>
        </patternFill>
      </fill>
      <alignment horizontal="center" vertical="bottom"/>
    </dxf>
    <dxf>
      <numFmt numFmtId="19" formatCode="dd/mm/yyyy"/>
      <alignment horizontal="center" vertical="bottom"/>
    </dxf>
    <dxf>
      <numFmt numFmtId="19" formatCode="dd/mm/yyyy"/>
      <alignment horizontal="center" vertical="bottom"/>
    </dxf>
    <dxf>
      <border outline="0">
        <top style="thin">
          <color rgb="FFCBD5E1"/>
        </top>
      </border>
    </dxf>
    <dxf>
      <alignment horizontal="center" vertical="bottom"/>
    </dxf>
    <dxf>
      <numFmt numFmtId="165" formatCode="0.0%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165" formatCode="0.0%"/>
      <fill>
        <patternFill patternType="solid">
          <fgColor indexed="64"/>
          <bgColor theme="3" tint="0.89999084444715716"/>
        </patternFill>
      </fill>
      <alignment horizontal="center" vertical="bottom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3" tint="0.89999084444715716"/>
        </patternFill>
      </fill>
    </dxf>
    <dxf>
      <numFmt numFmtId="34" formatCode="_-&quot;R$&quot;\ * #,##0.00_-;\-&quot;R$&quot;\ * #,##0.00_-;_-&quot;R$&quot;\ * &quot;-&quot;??_-;_-@_-"/>
    </dxf>
    <dxf>
      <border outline="0">
        <top style="thin">
          <color rgb="FFCBD5E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0.89999084444715716"/>
        </patternFill>
      </fill>
      <alignment horizontal="center" vertical="bottom"/>
    </dxf>
    <dxf>
      <numFmt numFmtId="19" formatCode="dd/mm/yyyy"/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border outline="0">
        <top style="thin">
          <color rgb="FFCBD5E1"/>
        </top>
      </border>
    </dxf>
    <dxf>
      <alignment horizontal="center" vertical="bottom"/>
    </dxf>
    <dxf>
      <alignment horizontal="center" vertical="bottom"/>
    </dxf>
    <dxf>
      <fill>
        <patternFill patternType="solid">
          <fgColor indexed="64"/>
          <bgColor theme="3" tint="0.89999084444715716"/>
        </patternFill>
      </fill>
      <alignment horizontal="center" vertical="bottom"/>
    </dxf>
    <dxf>
      <fill>
        <patternFill patternType="solid">
          <fgColor indexed="64"/>
          <bgColor theme="3" tint="0.89999084444715716"/>
        </patternFill>
      </fill>
      <alignment horizontal="center" vertical="bottom"/>
    </dxf>
    <dxf>
      <numFmt numFmtId="19" formatCode="dd/mm/yyyy"/>
      <alignment horizontal="center" vertical="bottom"/>
    </dxf>
    <dxf>
      <border outline="0">
        <top style="thin">
          <color rgb="FFCBD5E1"/>
        </top>
      </border>
    </dxf>
    <dxf>
      <border outline="0">
        <top style="thin">
          <color rgb="FFCBD5E1"/>
        </top>
      </border>
    </dxf>
    <dxf>
      <alignment horizontal="center" vertical="center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medium">
          <color theme="1"/>
        </bottom>
      </border>
    </dxf>
    <dxf>
      <font>
        <color theme="1"/>
      </font>
      <border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</dxfs>
  <tableStyles count="1" defaultTableStyle="TableStyleMedium2" defaultPivotStyle="PivotStyleLight16">
    <tableStyle name="TAB - MATEUS MONTEIRO" pivot="0" count="7" xr9:uid="{00000000-0011-0000-FFFF-FFFF00000000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</tableStyles>
  <colors>
    <mruColors>
      <color rgb="FFFFCC66"/>
      <color rgb="FF800000"/>
      <color rgb="FFDC2626"/>
      <color rgb="FFB91C1C"/>
      <color rgb="FFEBF3FB"/>
      <color rgb="FFE2E8F0"/>
      <color rgb="FF1A6EE8"/>
      <color rgb="FF217A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3:D83" totalsRowShown="0" headerRowDxfId="35" tableBorderDxfId="34">
  <autoFilter ref="A3:D83" xr:uid="{00000000-0009-0000-0100-000001000000}"/>
  <tableColumns count="4">
    <tableColumn id="1" xr3:uid="{00000000-0010-0000-0000-000001000000}" name="BLOCO"/>
    <tableColumn id="2" xr3:uid="{00000000-0010-0000-0000-000002000000}" name="PAVIMENTO"/>
    <tableColumn id="3" xr3:uid="{00000000-0010-0000-0000-000003000000}" name="UNIDADE"/>
    <tableColumn id="4" xr3:uid="{00000000-0010-0000-0000-000004000000}" name="CATEGORIA"/>
  </tableColumns>
  <tableStyleInfo name="TAB - MATEUS MONTEIR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" displayName="Tabela3" ref="A3:F299" totalsRowShown="0" tableBorderDxfId="33">
  <autoFilter ref="A3:F299" xr:uid="{00000000-0009-0000-0100-000002000000}"/>
  <sortState xmlns:xlrd2="http://schemas.microsoft.com/office/spreadsheetml/2017/richdata2" ref="A4:F299">
    <sortCondition ref="B3:B299"/>
  </sortState>
  <tableColumns count="6">
    <tableColumn id="1" xr3:uid="{00000000-0010-0000-0100-000001000000}" name="UNIDADE"/>
    <tableColumn id="2" xr3:uid="{00000000-0010-0000-0100-000002000000}" name="DATA VISTORIA" dataDxfId="32"/>
    <tableColumn id="3" xr3:uid="{00000000-0010-0000-0100-000003000000}" name="STATUS"/>
    <tableColumn id="4" xr3:uid="{00000000-0010-0000-0100-000004000000}" name="MOTIVO REPROVAÇÃO"/>
    <tableColumn id="5" xr3:uid="{00000000-0010-0000-0100-000005000000}" name="SEMANA Nº" dataDxfId="31">
      <calculatedColumnFormula>IF(B4="","",WEEKNUM(B4,1))</calculatedColumnFormula>
    </tableColumn>
    <tableColumn id="6" xr3:uid="{00000000-0010-0000-0100-000006000000}" name="MÊS" dataDxfId="30">
      <calculatedColumnFormula>IF(B4="","",TEXT(B4,"mmmm"))</calculatedColumnFormula>
    </tableColumn>
  </tableColumns>
  <tableStyleInfo name="TAB - MATEUS MONTEIRO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4" displayName="Tabela4" ref="A3:I13" totalsRowShown="0" headerRowDxfId="29" dataDxfId="28" tableBorderDxfId="27">
  <autoFilter ref="A3:I13" xr:uid="{00000000-0009-0000-0100-000003000000}"/>
  <tableColumns count="9">
    <tableColumn id="1" xr3:uid="{00000000-0010-0000-0200-000001000000}" name="DATA CADASTRO" dataDxfId="26"/>
    <tableColumn id="2" xr3:uid="{00000000-0010-0000-0200-000002000000}" name="TIPO" dataDxfId="25"/>
    <tableColumn id="3" xr3:uid="{00000000-0010-0000-0200-000003000000}" name="DESCRIÇÃO" dataDxfId="24"/>
    <tableColumn id="4" xr3:uid="{00000000-0010-0000-0200-000004000000}" name="1º PRAZO" dataDxfId="23"/>
    <tableColumn id="5" xr3:uid="{00000000-0010-0000-0200-000005000000}" name="PRAZO ATUAL" dataDxfId="22"/>
    <tableColumn id="6" xr3:uid="{00000000-0010-0000-0200-000006000000}" name="DELTA DIAS" dataDxfId="21">
      <calculatedColumnFormula>IF(OR(D4="",E4=""),"",E4-D4)</calculatedColumnFormula>
    </tableColumn>
    <tableColumn id="7" xr3:uid="{00000000-0010-0000-0200-000007000000}" name="RESPONSÁVEL" dataDxfId="20"/>
    <tableColumn id="8" xr3:uid="{00000000-0010-0000-0200-000008000000}" name="STATUS" dataDxfId="19"/>
    <tableColumn id="9" xr3:uid="{6816C52C-219B-44C5-9460-FB46A53D1694}" name="OCULTAR" dataDxfId="18"/>
  </tableColumns>
  <tableStyleInfo name="TAB - MATEUS MONTEIRO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5" displayName="Tabela5" ref="A3:O29" totalsRowShown="0" headerRowDxfId="17" tableBorderDxfId="16">
  <autoFilter ref="A3:O29" xr:uid="{00000000-0009-0000-0100-000004000000}"/>
  <tableColumns count="15">
    <tableColumn id="1" xr3:uid="{00000000-0010-0000-0300-000001000000}" name="DESCRIÇÃO"/>
    <tableColumn id="2" xr3:uid="{00000000-0010-0000-0300-000002000000}" name="VALOR ORÇADO" dataCellStyle="Moeda"/>
    <tableColumn id="3" xr3:uid="{00000000-0010-0000-0300-000003000000}" name="VALOR ATUALIZADO" dataDxfId="15" dataCellStyle="Moeda">
      <calculatedColumnFormula>Tabela5[[#This Row],[VALOR ORÇADO]]*1.1653</calculatedColumnFormula>
    </tableColumn>
    <tableColumn id="4" xr3:uid="{00000000-0010-0000-0300-000004000000}" name="PAGO" dataCellStyle="Moeda"/>
    <tableColumn id="5" xr3:uid="{00000000-0010-0000-0300-000005000000}" name="A PAGAR" dataCellStyle="Moeda"/>
    <tableColumn id="6" xr3:uid="{00000000-0010-0000-0300-000006000000}" name="SALDO DE CONTRATOS" dataCellStyle="Moeda"/>
    <tableColumn id="7" xr3:uid="{00000000-0010-0000-0300-000007000000}" name="COMPROMETIDO" dataDxfId="14" dataCellStyle="Moeda">
      <calculatedColumnFormula>SUM(Tabela5[[#This Row],[PAGO]:[SALDO DE CONTRATOS]])</calculatedColumnFormula>
    </tableColumn>
    <tableColumn id="8" xr3:uid="{00000000-0010-0000-0300-000008000000}" name="SALDO ORÇ. NOMINAL" dataDxfId="13" dataCellStyle="Moeda">
      <calculatedColumnFormula>Tabela5[[#This Row],[VALOR ORÇADO]]-Tabela5[[#This Row],[COMPROMETIDO]]</calculatedColumnFormula>
    </tableColumn>
    <tableColumn id="9" xr3:uid="{00000000-0010-0000-0300-000009000000}" name="SALDO ORÇ. CORRIGIDO" dataDxfId="12" dataCellStyle="Moeda">
      <calculatedColumnFormula>Tabela5[[#This Row],[VALOR ATUALIZADO]]-Tabela5[[#This Row],[COMPROMETIDO]]</calculatedColumnFormula>
    </tableColumn>
    <tableColumn id="10" xr3:uid="{00000000-0010-0000-0300-00000A000000}" name="PREV. FINANCEIRA" dataCellStyle="Moeda"/>
    <tableColumn id="11" xr3:uid="{00000000-0010-0000-0300-00000B000000}" name="CUSTO AO TÉRMINO" dataDxfId="11" dataCellStyle="Moeda">
      <calculatedColumnFormula>Tabela5[[#This Row],[PREV. FINANCEIRA]]+Tabela5[[#This Row],[PAGO]]</calculatedColumnFormula>
    </tableColumn>
    <tableColumn id="12" xr3:uid="{00000000-0010-0000-0300-00000C000000}" name="DESVIO NOMINAL R$" dataDxfId="10" dataCellStyle="Moeda">
      <calculatedColumnFormula>Tabela5[[#This Row],[VALOR ORÇADO]]-Tabela5[[#This Row],[CUSTO AO TÉRMINO]]</calculatedColumnFormula>
    </tableColumn>
    <tableColumn id="13" xr3:uid="{00000000-0010-0000-0300-00000D000000}" name="DESVIO NOMINAL %" dataDxfId="9" dataCellStyle="Porcentagem">
      <calculatedColumnFormula>IFERROR(Tabela5[[#This Row],[DESVIO NOMINAL R$]]/Tabela5[[#This Row],[VALOR ORÇADO]],0)</calculatedColumnFormula>
    </tableColumn>
    <tableColumn id="14" xr3:uid="{00000000-0010-0000-0300-00000E000000}" name="DESVIO CORRIGIDO R$" dataDxfId="8" dataCellStyle="Moeda">
      <calculatedColumnFormula>Tabela5[[#This Row],[VALOR ATUALIZADO]]-Tabela5[[#This Row],[CUSTO AO TÉRMINO]]</calculatedColumnFormula>
    </tableColumn>
    <tableColumn id="15" xr3:uid="{00000000-0010-0000-0300-00000F000000}" name="DESVIO CORRIGIDO %" dataDxfId="7" dataCellStyle="Porcentagem">
      <calculatedColumnFormula>IFERROR(Tabela5[[#This Row],[DESVIO CORRIGIDO R$]]/Tabela5[[#This Row],[VALOR ATUALIZADO]],0)</calculatedColumnFormula>
    </tableColumn>
  </tableColumns>
  <tableStyleInfo name="TAB - MATEUS MONTEIRO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6" displayName="Tabela6" ref="A3:I11" totalsRowShown="0" headerRowDxfId="6" tableBorderDxfId="5">
  <autoFilter ref="A3:I11" xr:uid="{00000000-0009-0000-0100-000005000000}"/>
  <tableColumns count="9">
    <tableColumn id="1" xr3:uid="{00000000-0010-0000-0400-000001000000}" name="ÁREA / LOCAL"/>
    <tableColumn id="2" xr3:uid="{00000000-0010-0000-0400-000002000000}" name="ITEM"/>
    <tableColumn id="3" xr3:uid="{00000000-0010-0000-0400-000003000000}" name="1º PRAZO" dataDxfId="4"/>
    <tableColumn id="4" xr3:uid="{00000000-0010-0000-0400-000004000000}" name="PRAZO ATUAL" dataDxfId="3"/>
    <tableColumn id="5" xr3:uid="{00000000-0010-0000-0400-000005000000}" name="DELTA" dataDxfId="2">
      <calculatedColumnFormula>IF(OR(C4="",D4=""),"",D4-C4)</calculatedColumnFormula>
    </tableColumn>
    <tableColumn id="6" xr3:uid="{00000000-0010-0000-0400-000006000000}" name="STATUS" dataDxfId="1"/>
    <tableColumn id="7" xr3:uid="{00000000-0010-0000-0400-000007000000}" name="RESPONSÁVEL"/>
    <tableColumn id="8" xr3:uid="{00000000-0010-0000-0400-000008000000}" name="OBSERVAÇÃO"/>
    <tableColumn id="9" xr3:uid="{00000000-0010-0000-0400-000009000000}" name="OCULTAR"/>
  </tableColumns>
  <tableStyleInfo name="TAB - MATEUS MONTEIRO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zoomScale="220" zoomScaleNormal="220" workbookViewId="0">
      <selection activeCell="C4" sqref="C4:C8"/>
    </sheetView>
  </sheetViews>
  <sheetFormatPr defaultRowHeight="15" x14ac:dyDescent="0.25"/>
  <cols>
    <col min="1" max="1" width="56.85546875" bestFit="1" customWidth="1"/>
    <col min="2" max="2" width="9.140625" bestFit="1" customWidth="1"/>
    <col min="3" max="3" width="10.28515625" bestFit="1" customWidth="1"/>
  </cols>
  <sheetData>
    <row r="1" spans="1:3" ht="18.75" customHeight="1" x14ac:dyDescent="0.25">
      <c r="A1" s="10" t="s">
        <v>40</v>
      </c>
      <c r="B1" s="10"/>
      <c r="C1" s="10"/>
    </row>
    <row r="2" spans="1:3" x14ac:dyDescent="0.25">
      <c r="A2" s="20" t="s">
        <v>41</v>
      </c>
      <c r="B2" s="20"/>
      <c r="C2" s="20"/>
    </row>
    <row r="3" spans="1:3" ht="18.75" customHeight="1" x14ac:dyDescent="0.25">
      <c r="A3" s="9" t="s">
        <v>42</v>
      </c>
      <c r="B3" s="9" t="s">
        <v>345</v>
      </c>
      <c r="C3" s="9" t="s">
        <v>351</v>
      </c>
    </row>
    <row r="4" spans="1:3" x14ac:dyDescent="0.25">
      <c r="A4" s="8" t="s">
        <v>43</v>
      </c>
      <c r="B4" s="27" t="s">
        <v>346</v>
      </c>
      <c r="C4" s="8" t="s">
        <v>354</v>
      </c>
    </row>
    <row r="5" spans="1:3" x14ac:dyDescent="0.25">
      <c r="A5" s="8" t="s">
        <v>44</v>
      </c>
      <c r="B5" s="28" t="s">
        <v>347</v>
      </c>
      <c r="C5" s="8" t="s">
        <v>355</v>
      </c>
    </row>
    <row r="6" spans="1:3" x14ac:dyDescent="0.25">
      <c r="A6" s="8" t="s">
        <v>45</v>
      </c>
      <c r="B6" s="30" t="s">
        <v>348</v>
      </c>
      <c r="C6" s="8" t="s">
        <v>356</v>
      </c>
    </row>
    <row r="7" spans="1:3" x14ac:dyDescent="0.25">
      <c r="A7" s="8" t="s">
        <v>46</v>
      </c>
      <c r="B7" s="32" t="s">
        <v>350</v>
      </c>
      <c r="C7" s="8" t="s">
        <v>352</v>
      </c>
    </row>
    <row r="8" spans="1:3" x14ac:dyDescent="0.25">
      <c r="A8" s="8" t="s">
        <v>102</v>
      </c>
      <c r="B8" s="31" t="s">
        <v>349</v>
      </c>
      <c r="C8" s="8" t="s">
        <v>353</v>
      </c>
    </row>
    <row r="9" spans="1:3" x14ac:dyDescent="0.25">
      <c r="A9" s="8"/>
      <c r="B9" s="29"/>
      <c r="C9" s="8"/>
    </row>
    <row r="10" spans="1:3" x14ac:dyDescent="0.25">
      <c r="A10" s="8"/>
      <c r="B10" s="29"/>
      <c r="C10" s="8"/>
    </row>
    <row r="11" spans="1:3" x14ac:dyDescent="0.25">
      <c r="A11" s="8"/>
      <c r="B11" s="29"/>
      <c r="C11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zoomScaleNormal="100" workbookViewId="0">
      <selection activeCell="B18" sqref="B18"/>
    </sheetView>
  </sheetViews>
  <sheetFormatPr defaultRowHeight="26.25" customHeight="1" x14ac:dyDescent="0.25"/>
  <cols>
    <col min="1" max="1" width="40" customWidth="1"/>
    <col min="2" max="2" width="36" customWidth="1"/>
  </cols>
  <sheetData>
    <row r="1" spans="1:2" ht="26.25" customHeight="1" x14ac:dyDescent="0.25">
      <c r="A1" s="35" t="s">
        <v>47</v>
      </c>
      <c r="B1" s="34"/>
    </row>
    <row r="2" spans="1:2" ht="26.25" customHeight="1" x14ac:dyDescent="0.25">
      <c r="A2" s="33" t="s">
        <v>48</v>
      </c>
      <c r="B2" s="34"/>
    </row>
    <row r="3" spans="1:2" ht="26.25" customHeight="1" x14ac:dyDescent="0.25">
      <c r="A3" s="1" t="s">
        <v>49</v>
      </c>
      <c r="B3" s="2" t="s">
        <v>50</v>
      </c>
    </row>
    <row r="4" spans="1:2" ht="26.25" customHeight="1" x14ac:dyDescent="0.25">
      <c r="A4" s="1" t="s">
        <v>51</v>
      </c>
      <c r="B4" s="2" t="s">
        <v>52</v>
      </c>
    </row>
    <row r="5" spans="1:2" ht="26.25" customHeight="1" x14ac:dyDescent="0.25">
      <c r="A5" s="1" t="s">
        <v>53</v>
      </c>
      <c r="B5" s="2" t="s">
        <v>344</v>
      </c>
    </row>
    <row r="6" spans="1:2" ht="26.25" customHeight="1" x14ac:dyDescent="0.25">
      <c r="A6" s="1" t="s">
        <v>54</v>
      </c>
      <c r="B6" s="2" t="s">
        <v>343</v>
      </c>
    </row>
    <row r="7" spans="1:2" ht="26.25" customHeight="1" x14ac:dyDescent="0.25">
      <c r="A7" s="33" t="s">
        <v>56</v>
      </c>
      <c r="B7" s="34"/>
    </row>
    <row r="8" spans="1:2" ht="26.25" customHeight="1" x14ac:dyDescent="0.25">
      <c r="A8" s="1" t="s">
        <v>57</v>
      </c>
      <c r="B8" s="3">
        <v>45796</v>
      </c>
    </row>
    <row r="9" spans="1:2" ht="26.25" customHeight="1" x14ac:dyDescent="0.25">
      <c r="A9" s="1" t="s">
        <v>58</v>
      </c>
      <c r="B9" s="4">
        <f>IF(B8="","",B8+4)</f>
        <v>45800</v>
      </c>
    </row>
    <row r="10" spans="1:2" ht="26.25" customHeight="1" x14ac:dyDescent="0.25">
      <c r="A10" s="1" t="s">
        <v>59</v>
      </c>
      <c r="B10" s="5">
        <f>IF(B8="","",WEEKNUM(B8,1))</f>
        <v>21</v>
      </c>
    </row>
    <row r="11" spans="1:2" ht="26.25" customHeight="1" x14ac:dyDescent="0.25">
      <c r="A11" s="33" t="s">
        <v>60</v>
      </c>
      <c r="B11" s="34"/>
    </row>
    <row r="12" spans="1:2" ht="26.25" customHeight="1" x14ac:dyDescent="0.25">
      <c r="A12" s="1" t="s">
        <v>61</v>
      </c>
      <c r="B12" s="6">
        <f>COUNTIF(Tabela2[CATEGORIA],"Aprovou Vistoria")</f>
        <v>39</v>
      </c>
    </row>
    <row r="13" spans="1:2" ht="26.25" customHeight="1" x14ac:dyDescent="0.25">
      <c r="A13" s="1" t="s">
        <v>62</v>
      </c>
      <c r="B13" s="6">
        <f>COUNTA(Tabela2[CATEGORIA])</f>
        <v>80</v>
      </c>
    </row>
    <row r="14" spans="1:2" ht="26.25" customHeight="1" x14ac:dyDescent="0.25">
      <c r="A14" s="1" t="s">
        <v>63</v>
      </c>
      <c r="B14" s="7">
        <f>IF(B13=0,"",ROUND(B12/B13*100,0))</f>
        <v>49</v>
      </c>
    </row>
  </sheetData>
  <mergeCells count="4">
    <mergeCell ref="A2:B2"/>
    <mergeCell ref="A11:B11"/>
    <mergeCell ref="A1:B1"/>
    <mergeCell ref="A7:B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3"/>
  <sheetViews>
    <sheetView showGridLines="0" zoomScale="175" zoomScaleNormal="175" workbookViewId="0">
      <selection activeCell="B28" sqref="B28"/>
    </sheetView>
  </sheetViews>
  <sheetFormatPr defaultRowHeight="15" x14ac:dyDescent="0.25"/>
  <cols>
    <col min="1" max="1" width="27" customWidth="1"/>
    <col min="2" max="2" width="35" customWidth="1"/>
    <col min="3" max="3" width="29" customWidth="1"/>
    <col min="4" max="4" width="26" customWidth="1"/>
  </cols>
  <sheetData>
    <row r="1" spans="1:4" ht="28.5" customHeight="1" x14ac:dyDescent="0.25">
      <c r="A1" s="36" t="s">
        <v>64</v>
      </c>
      <c r="B1" s="34"/>
      <c r="C1" s="34"/>
      <c r="D1" s="34"/>
    </row>
    <row r="2" spans="1:4" ht="19.5" customHeight="1" x14ac:dyDescent="0.25">
      <c r="A2" s="21" t="s">
        <v>65</v>
      </c>
      <c r="B2" s="21" t="s">
        <v>66</v>
      </c>
      <c r="C2" s="21" t="s">
        <v>67</v>
      </c>
      <c r="D2" s="21" t="s">
        <v>68</v>
      </c>
    </row>
    <row r="3" spans="1:4" ht="20.25" customHeight="1" x14ac:dyDescent="0.25">
      <c r="A3" s="12" t="s">
        <v>69</v>
      </c>
      <c r="B3" s="12" t="s">
        <v>70</v>
      </c>
      <c r="C3" s="12" t="s">
        <v>71</v>
      </c>
      <c r="D3" s="12" t="s">
        <v>42</v>
      </c>
    </row>
    <row r="4" spans="1:4" x14ac:dyDescent="0.25">
      <c r="A4" t="s">
        <v>157</v>
      </c>
      <c r="B4" t="s">
        <v>161</v>
      </c>
      <c r="C4" t="s">
        <v>161</v>
      </c>
      <c r="D4" t="s">
        <v>43</v>
      </c>
    </row>
    <row r="5" spans="1:4" x14ac:dyDescent="0.25">
      <c r="A5" t="s">
        <v>157</v>
      </c>
      <c r="B5" t="s">
        <v>161</v>
      </c>
      <c r="C5" t="s">
        <v>162</v>
      </c>
      <c r="D5" t="s">
        <v>43</v>
      </c>
    </row>
    <row r="6" spans="1:4" x14ac:dyDescent="0.25">
      <c r="A6" t="s">
        <v>157</v>
      </c>
      <c r="B6" t="s">
        <v>161</v>
      </c>
      <c r="C6" t="s">
        <v>163</v>
      </c>
      <c r="D6" t="s">
        <v>45</v>
      </c>
    </row>
    <row r="7" spans="1:4" x14ac:dyDescent="0.25">
      <c r="A7" t="s">
        <v>157</v>
      </c>
      <c r="B7" t="s">
        <v>161</v>
      </c>
      <c r="C7" t="s">
        <v>164</v>
      </c>
      <c r="D7" t="s">
        <v>43</v>
      </c>
    </row>
    <row r="8" spans="1:4" x14ac:dyDescent="0.25">
      <c r="A8" t="s">
        <v>157</v>
      </c>
      <c r="B8" t="s">
        <v>162</v>
      </c>
      <c r="C8" t="s">
        <v>161</v>
      </c>
      <c r="D8" t="s">
        <v>44</v>
      </c>
    </row>
    <row r="9" spans="1:4" x14ac:dyDescent="0.25">
      <c r="A9" t="s">
        <v>157</v>
      </c>
      <c r="B9" t="s">
        <v>162</v>
      </c>
      <c r="C9" t="s">
        <v>162</v>
      </c>
      <c r="D9" t="s">
        <v>46</v>
      </c>
    </row>
    <row r="10" spans="1:4" x14ac:dyDescent="0.25">
      <c r="A10" t="s">
        <v>157</v>
      </c>
      <c r="B10" t="s">
        <v>162</v>
      </c>
      <c r="C10" t="s">
        <v>163</v>
      </c>
      <c r="D10" t="s">
        <v>43</v>
      </c>
    </row>
    <row r="11" spans="1:4" x14ac:dyDescent="0.25">
      <c r="A11" t="s">
        <v>157</v>
      </c>
      <c r="B11" t="s">
        <v>162</v>
      </c>
      <c r="C11" t="s">
        <v>164</v>
      </c>
      <c r="D11" t="s">
        <v>44</v>
      </c>
    </row>
    <row r="12" spans="1:4" x14ac:dyDescent="0.25">
      <c r="A12" t="s">
        <v>157</v>
      </c>
      <c r="B12" t="s">
        <v>163</v>
      </c>
      <c r="C12" t="s">
        <v>161</v>
      </c>
      <c r="D12" t="s">
        <v>43</v>
      </c>
    </row>
    <row r="13" spans="1:4" x14ac:dyDescent="0.25">
      <c r="A13" t="s">
        <v>157</v>
      </c>
      <c r="B13" t="s">
        <v>163</v>
      </c>
      <c r="C13" t="s">
        <v>162</v>
      </c>
      <c r="D13" t="s">
        <v>43</v>
      </c>
    </row>
    <row r="14" spans="1:4" x14ac:dyDescent="0.25">
      <c r="A14" t="s">
        <v>157</v>
      </c>
      <c r="B14" t="s">
        <v>163</v>
      </c>
      <c r="C14" t="s">
        <v>163</v>
      </c>
      <c r="D14" t="s">
        <v>45</v>
      </c>
    </row>
    <row r="15" spans="1:4" x14ac:dyDescent="0.25">
      <c r="A15" t="s">
        <v>157</v>
      </c>
      <c r="B15" t="s">
        <v>163</v>
      </c>
      <c r="C15" t="s">
        <v>164</v>
      </c>
      <c r="D15" t="s">
        <v>43</v>
      </c>
    </row>
    <row r="16" spans="1:4" x14ac:dyDescent="0.25">
      <c r="A16" t="s">
        <v>157</v>
      </c>
      <c r="B16" t="s">
        <v>164</v>
      </c>
      <c r="C16" t="s">
        <v>161</v>
      </c>
      <c r="D16" t="s">
        <v>44</v>
      </c>
    </row>
    <row r="17" spans="1:4" x14ac:dyDescent="0.25">
      <c r="A17" t="s">
        <v>157</v>
      </c>
      <c r="B17" t="s">
        <v>164</v>
      </c>
      <c r="C17" t="s">
        <v>162</v>
      </c>
      <c r="D17" t="s">
        <v>46</v>
      </c>
    </row>
    <row r="18" spans="1:4" x14ac:dyDescent="0.25">
      <c r="A18" t="s">
        <v>157</v>
      </c>
      <c r="B18" t="s">
        <v>164</v>
      </c>
      <c r="C18" t="s">
        <v>163</v>
      </c>
      <c r="D18" t="s">
        <v>43</v>
      </c>
    </row>
    <row r="19" spans="1:4" x14ac:dyDescent="0.25">
      <c r="A19" t="s">
        <v>157</v>
      </c>
      <c r="B19" t="s">
        <v>164</v>
      </c>
      <c r="C19" t="s">
        <v>164</v>
      </c>
      <c r="D19" t="s">
        <v>44</v>
      </c>
    </row>
    <row r="20" spans="1:4" x14ac:dyDescent="0.25">
      <c r="A20" t="s">
        <v>157</v>
      </c>
      <c r="B20" t="s">
        <v>165</v>
      </c>
      <c r="C20" t="s">
        <v>161</v>
      </c>
      <c r="D20" t="s">
        <v>43</v>
      </c>
    </row>
    <row r="21" spans="1:4" x14ac:dyDescent="0.25">
      <c r="A21" t="s">
        <v>157</v>
      </c>
      <c r="B21" t="s">
        <v>165</v>
      </c>
      <c r="C21" t="s">
        <v>162</v>
      </c>
      <c r="D21" t="s">
        <v>43</v>
      </c>
    </row>
    <row r="22" spans="1:4" x14ac:dyDescent="0.25">
      <c r="A22" t="s">
        <v>157</v>
      </c>
      <c r="B22" t="s">
        <v>165</v>
      </c>
      <c r="C22" t="s">
        <v>163</v>
      </c>
      <c r="D22" t="s">
        <v>102</v>
      </c>
    </row>
    <row r="23" spans="1:4" x14ac:dyDescent="0.25">
      <c r="A23" t="s">
        <v>157</v>
      </c>
      <c r="B23" t="s">
        <v>165</v>
      </c>
      <c r="C23" t="s">
        <v>164</v>
      </c>
      <c r="D23" t="s">
        <v>102</v>
      </c>
    </row>
    <row r="24" spans="1:4" x14ac:dyDescent="0.25">
      <c r="A24" t="s">
        <v>158</v>
      </c>
      <c r="B24" t="s">
        <v>161</v>
      </c>
      <c r="C24" t="s">
        <v>161</v>
      </c>
      <c r="D24" t="s">
        <v>102</v>
      </c>
    </row>
    <row r="25" spans="1:4" x14ac:dyDescent="0.25">
      <c r="A25" t="s">
        <v>158</v>
      </c>
      <c r="B25" t="s">
        <v>161</v>
      </c>
      <c r="C25" t="s">
        <v>162</v>
      </c>
      <c r="D25" t="s">
        <v>102</v>
      </c>
    </row>
    <row r="26" spans="1:4" x14ac:dyDescent="0.25">
      <c r="A26" t="s">
        <v>158</v>
      </c>
      <c r="B26" t="s">
        <v>161</v>
      </c>
      <c r="C26" t="s">
        <v>163</v>
      </c>
      <c r="D26" t="s">
        <v>102</v>
      </c>
    </row>
    <row r="27" spans="1:4" x14ac:dyDescent="0.25">
      <c r="A27" t="s">
        <v>158</v>
      </c>
      <c r="B27" t="s">
        <v>161</v>
      </c>
      <c r="C27" t="s">
        <v>164</v>
      </c>
      <c r="D27" t="s">
        <v>102</v>
      </c>
    </row>
    <row r="28" spans="1:4" x14ac:dyDescent="0.25">
      <c r="A28" t="s">
        <v>158</v>
      </c>
      <c r="B28" t="s">
        <v>162</v>
      </c>
      <c r="C28" t="s">
        <v>161</v>
      </c>
      <c r="D28" t="s">
        <v>43</v>
      </c>
    </row>
    <row r="29" spans="1:4" x14ac:dyDescent="0.25">
      <c r="A29" t="s">
        <v>158</v>
      </c>
      <c r="B29" t="s">
        <v>162</v>
      </c>
      <c r="C29" t="s">
        <v>162</v>
      </c>
      <c r="D29" t="s">
        <v>44</v>
      </c>
    </row>
    <row r="30" spans="1:4" x14ac:dyDescent="0.25">
      <c r="A30" t="s">
        <v>158</v>
      </c>
      <c r="B30" t="s">
        <v>162</v>
      </c>
      <c r="C30" t="s">
        <v>163</v>
      </c>
      <c r="D30" t="s">
        <v>46</v>
      </c>
    </row>
    <row r="31" spans="1:4" x14ac:dyDescent="0.25">
      <c r="A31" t="s">
        <v>158</v>
      </c>
      <c r="B31" t="s">
        <v>162</v>
      </c>
      <c r="C31" t="s">
        <v>164</v>
      </c>
      <c r="D31" t="s">
        <v>43</v>
      </c>
    </row>
    <row r="32" spans="1:4" x14ac:dyDescent="0.25">
      <c r="A32" t="s">
        <v>158</v>
      </c>
      <c r="B32" t="s">
        <v>163</v>
      </c>
      <c r="C32" t="s">
        <v>161</v>
      </c>
      <c r="D32" t="s">
        <v>44</v>
      </c>
    </row>
    <row r="33" spans="1:4" x14ac:dyDescent="0.25">
      <c r="A33" t="s">
        <v>158</v>
      </c>
      <c r="B33" t="s">
        <v>163</v>
      </c>
      <c r="C33" t="s">
        <v>162</v>
      </c>
      <c r="D33" t="s">
        <v>43</v>
      </c>
    </row>
    <row r="34" spans="1:4" x14ac:dyDescent="0.25">
      <c r="A34" t="s">
        <v>158</v>
      </c>
      <c r="B34" t="s">
        <v>163</v>
      </c>
      <c r="C34" t="s">
        <v>163</v>
      </c>
      <c r="D34" t="s">
        <v>43</v>
      </c>
    </row>
    <row r="35" spans="1:4" x14ac:dyDescent="0.25">
      <c r="A35" t="s">
        <v>158</v>
      </c>
      <c r="B35" t="s">
        <v>163</v>
      </c>
      <c r="C35" t="s">
        <v>164</v>
      </c>
      <c r="D35" t="s">
        <v>45</v>
      </c>
    </row>
    <row r="36" spans="1:4" x14ac:dyDescent="0.25">
      <c r="A36" t="s">
        <v>158</v>
      </c>
      <c r="B36" t="s">
        <v>164</v>
      </c>
      <c r="C36" t="s">
        <v>161</v>
      </c>
      <c r="D36" t="s">
        <v>43</v>
      </c>
    </row>
    <row r="37" spans="1:4" x14ac:dyDescent="0.25">
      <c r="A37" t="s">
        <v>158</v>
      </c>
      <c r="B37" t="s">
        <v>164</v>
      </c>
      <c r="C37" t="s">
        <v>162</v>
      </c>
      <c r="D37" t="s">
        <v>44</v>
      </c>
    </row>
    <row r="38" spans="1:4" x14ac:dyDescent="0.25">
      <c r="A38" t="s">
        <v>158</v>
      </c>
      <c r="B38" t="s">
        <v>164</v>
      </c>
      <c r="C38" t="s">
        <v>163</v>
      </c>
      <c r="D38" t="s">
        <v>46</v>
      </c>
    </row>
    <row r="39" spans="1:4" x14ac:dyDescent="0.25">
      <c r="A39" t="s">
        <v>158</v>
      </c>
      <c r="B39" t="s">
        <v>164</v>
      </c>
      <c r="C39" t="s">
        <v>164</v>
      </c>
      <c r="D39" t="s">
        <v>43</v>
      </c>
    </row>
    <row r="40" spans="1:4" x14ac:dyDescent="0.25">
      <c r="A40" t="s">
        <v>158</v>
      </c>
      <c r="B40" t="s">
        <v>165</v>
      </c>
      <c r="C40" t="s">
        <v>161</v>
      </c>
      <c r="D40" t="s">
        <v>44</v>
      </c>
    </row>
    <row r="41" spans="1:4" x14ac:dyDescent="0.25">
      <c r="A41" t="s">
        <v>158</v>
      </c>
      <c r="B41" t="s">
        <v>165</v>
      </c>
      <c r="C41" t="s">
        <v>162</v>
      </c>
      <c r="D41" t="s">
        <v>43</v>
      </c>
    </row>
    <row r="42" spans="1:4" x14ac:dyDescent="0.25">
      <c r="A42" t="s">
        <v>158</v>
      </c>
      <c r="B42" t="s">
        <v>165</v>
      </c>
      <c r="C42" t="s">
        <v>163</v>
      </c>
      <c r="D42" t="s">
        <v>43</v>
      </c>
    </row>
    <row r="43" spans="1:4" x14ac:dyDescent="0.25">
      <c r="A43" t="s">
        <v>158</v>
      </c>
      <c r="B43" t="s">
        <v>165</v>
      </c>
      <c r="C43" t="s">
        <v>164</v>
      </c>
      <c r="D43" t="s">
        <v>45</v>
      </c>
    </row>
    <row r="44" spans="1:4" x14ac:dyDescent="0.25">
      <c r="A44" t="s">
        <v>159</v>
      </c>
      <c r="B44" t="s">
        <v>161</v>
      </c>
      <c r="C44" t="s">
        <v>161</v>
      </c>
      <c r="D44" t="s">
        <v>43</v>
      </c>
    </row>
    <row r="45" spans="1:4" x14ac:dyDescent="0.25">
      <c r="A45" t="s">
        <v>159</v>
      </c>
      <c r="B45" t="s">
        <v>161</v>
      </c>
      <c r="C45" t="s">
        <v>162</v>
      </c>
      <c r="D45" t="s">
        <v>43</v>
      </c>
    </row>
    <row r="46" spans="1:4" x14ac:dyDescent="0.25">
      <c r="A46" t="s">
        <v>159</v>
      </c>
      <c r="B46" t="s">
        <v>161</v>
      </c>
      <c r="C46" t="s">
        <v>163</v>
      </c>
      <c r="D46" t="s">
        <v>45</v>
      </c>
    </row>
    <row r="47" spans="1:4" x14ac:dyDescent="0.25">
      <c r="A47" t="s">
        <v>159</v>
      </c>
      <c r="B47" t="s">
        <v>161</v>
      </c>
      <c r="C47" t="s">
        <v>164</v>
      </c>
      <c r="D47" t="s">
        <v>43</v>
      </c>
    </row>
    <row r="48" spans="1:4" x14ac:dyDescent="0.25">
      <c r="A48" t="s">
        <v>159</v>
      </c>
      <c r="B48" t="s">
        <v>162</v>
      </c>
      <c r="C48" t="s">
        <v>161</v>
      </c>
      <c r="D48" t="s">
        <v>44</v>
      </c>
    </row>
    <row r="49" spans="1:4" x14ac:dyDescent="0.25">
      <c r="A49" t="s">
        <v>159</v>
      </c>
      <c r="B49" t="s">
        <v>162</v>
      </c>
      <c r="C49" t="s">
        <v>162</v>
      </c>
      <c r="D49" t="s">
        <v>46</v>
      </c>
    </row>
    <row r="50" spans="1:4" x14ac:dyDescent="0.25">
      <c r="A50" t="s">
        <v>159</v>
      </c>
      <c r="B50" t="s">
        <v>162</v>
      </c>
      <c r="C50" t="s">
        <v>163</v>
      </c>
      <c r="D50" t="s">
        <v>43</v>
      </c>
    </row>
    <row r="51" spans="1:4" x14ac:dyDescent="0.25">
      <c r="A51" t="s">
        <v>159</v>
      </c>
      <c r="B51" t="s">
        <v>162</v>
      </c>
      <c r="C51" t="s">
        <v>164</v>
      </c>
      <c r="D51" t="s">
        <v>44</v>
      </c>
    </row>
    <row r="52" spans="1:4" x14ac:dyDescent="0.25">
      <c r="A52" t="s">
        <v>159</v>
      </c>
      <c r="B52" t="s">
        <v>163</v>
      </c>
      <c r="C52" t="s">
        <v>161</v>
      </c>
      <c r="D52" t="s">
        <v>43</v>
      </c>
    </row>
    <row r="53" spans="1:4" x14ac:dyDescent="0.25">
      <c r="A53" t="s">
        <v>159</v>
      </c>
      <c r="B53" t="s">
        <v>163</v>
      </c>
      <c r="C53" t="s">
        <v>162</v>
      </c>
      <c r="D53" t="s">
        <v>43</v>
      </c>
    </row>
    <row r="54" spans="1:4" x14ac:dyDescent="0.25">
      <c r="A54" t="s">
        <v>159</v>
      </c>
      <c r="B54" t="s">
        <v>163</v>
      </c>
      <c r="C54" t="s">
        <v>163</v>
      </c>
      <c r="D54" t="s">
        <v>45</v>
      </c>
    </row>
    <row r="55" spans="1:4" x14ac:dyDescent="0.25">
      <c r="A55" t="s">
        <v>159</v>
      </c>
      <c r="B55" t="s">
        <v>163</v>
      </c>
      <c r="C55" t="s">
        <v>164</v>
      </c>
      <c r="D55" t="s">
        <v>43</v>
      </c>
    </row>
    <row r="56" spans="1:4" x14ac:dyDescent="0.25">
      <c r="A56" t="s">
        <v>159</v>
      </c>
      <c r="B56" t="s">
        <v>164</v>
      </c>
      <c r="C56" t="s">
        <v>161</v>
      </c>
      <c r="D56" t="s">
        <v>44</v>
      </c>
    </row>
    <row r="57" spans="1:4" x14ac:dyDescent="0.25">
      <c r="A57" t="s">
        <v>159</v>
      </c>
      <c r="B57" t="s">
        <v>164</v>
      </c>
      <c r="C57" t="s">
        <v>162</v>
      </c>
      <c r="D57" t="s">
        <v>46</v>
      </c>
    </row>
    <row r="58" spans="1:4" x14ac:dyDescent="0.25">
      <c r="A58" t="s">
        <v>159</v>
      </c>
      <c r="B58" t="s">
        <v>164</v>
      </c>
      <c r="C58" t="s">
        <v>163</v>
      </c>
      <c r="D58" t="s">
        <v>43</v>
      </c>
    </row>
    <row r="59" spans="1:4" x14ac:dyDescent="0.25">
      <c r="A59" t="s">
        <v>159</v>
      </c>
      <c r="B59" t="s">
        <v>164</v>
      </c>
      <c r="C59" t="s">
        <v>164</v>
      </c>
      <c r="D59" t="s">
        <v>44</v>
      </c>
    </row>
    <row r="60" spans="1:4" x14ac:dyDescent="0.25">
      <c r="A60" t="s">
        <v>159</v>
      </c>
      <c r="B60" t="s">
        <v>165</v>
      </c>
      <c r="C60" t="s">
        <v>161</v>
      </c>
      <c r="D60" t="s">
        <v>43</v>
      </c>
    </row>
    <row r="61" spans="1:4" x14ac:dyDescent="0.25">
      <c r="A61" t="s">
        <v>159</v>
      </c>
      <c r="B61" t="s">
        <v>165</v>
      </c>
      <c r="C61" t="s">
        <v>162</v>
      </c>
      <c r="D61" t="s">
        <v>43</v>
      </c>
    </row>
    <row r="62" spans="1:4" x14ac:dyDescent="0.25">
      <c r="A62" t="s">
        <v>159</v>
      </c>
      <c r="B62" t="s">
        <v>165</v>
      </c>
      <c r="C62" t="s">
        <v>163</v>
      </c>
      <c r="D62" t="s">
        <v>45</v>
      </c>
    </row>
    <row r="63" spans="1:4" x14ac:dyDescent="0.25">
      <c r="A63" t="s">
        <v>159</v>
      </c>
      <c r="B63" t="s">
        <v>165</v>
      </c>
      <c r="C63" t="s">
        <v>164</v>
      </c>
      <c r="D63" t="s">
        <v>43</v>
      </c>
    </row>
    <row r="64" spans="1:4" x14ac:dyDescent="0.25">
      <c r="A64" t="s">
        <v>160</v>
      </c>
      <c r="B64" t="s">
        <v>161</v>
      </c>
      <c r="C64" t="s">
        <v>161</v>
      </c>
      <c r="D64" t="s">
        <v>44</v>
      </c>
    </row>
    <row r="65" spans="1:4" x14ac:dyDescent="0.25">
      <c r="A65" t="s">
        <v>160</v>
      </c>
      <c r="B65" t="s">
        <v>161</v>
      </c>
      <c r="C65" t="s">
        <v>162</v>
      </c>
      <c r="D65" t="s">
        <v>43</v>
      </c>
    </row>
    <row r="66" spans="1:4" x14ac:dyDescent="0.25">
      <c r="A66" t="s">
        <v>160</v>
      </c>
      <c r="B66" t="s">
        <v>161</v>
      </c>
      <c r="C66" t="s">
        <v>163</v>
      </c>
      <c r="D66" t="s">
        <v>43</v>
      </c>
    </row>
    <row r="67" spans="1:4" x14ac:dyDescent="0.25">
      <c r="A67" t="s">
        <v>160</v>
      </c>
      <c r="B67" t="s">
        <v>161</v>
      </c>
      <c r="C67" t="s">
        <v>164</v>
      </c>
      <c r="D67" t="s">
        <v>45</v>
      </c>
    </row>
    <row r="68" spans="1:4" x14ac:dyDescent="0.25">
      <c r="A68" t="s">
        <v>160</v>
      </c>
      <c r="B68" t="s">
        <v>162</v>
      </c>
      <c r="C68" t="s">
        <v>161</v>
      </c>
      <c r="D68" t="s">
        <v>43</v>
      </c>
    </row>
    <row r="69" spans="1:4" x14ac:dyDescent="0.25">
      <c r="A69" t="s">
        <v>160</v>
      </c>
      <c r="B69" t="s">
        <v>162</v>
      </c>
      <c r="C69" t="s">
        <v>162</v>
      </c>
      <c r="D69" t="s">
        <v>44</v>
      </c>
    </row>
    <row r="70" spans="1:4" x14ac:dyDescent="0.25">
      <c r="A70" t="s">
        <v>160</v>
      </c>
      <c r="B70" t="s">
        <v>162</v>
      </c>
      <c r="C70" t="s">
        <v>163</v>
      </c>
      <c r="D70" t="s">
        <v>46</v>
      </c>
    </row>
    <row r="71" spans="1:4" x14ac:dyDescent="0.25">
      <c r="A71" t="s">
        <v>160</v>
      </c>
      <c r="B71" t="s">
        <v>162</v>
      </c>
      <c r="C71" t="s">
        <v>164</v>
      </c>
      <c r="D71" t="s">
        <v>43</v>
      </c>
    </row>
    <row r="72" spans="1:4" x14ac:dyDescent="0.25">
      <c r="A72" t="s">
        <v>160</v>
      </c>
      <c r="B72" t="s">
        <v>163</v>
      </c>
      <c r="C72" t="s">
        <v>161</v>
      </c>
      <c r="D72" t="s">
        <v>44</v>
      </c>
    </row>
    <row r="73" spans="1:4" x14ac:dyDescent="0.25">
      <c r="A73" t="s">
        <v>160</v>
      </c>
      <c r="B73" t="s">
        <v>163</v>
      </c>
      <c r="C73" t="s">
        <v>162</v>
      </c>
      <c r="D73" t="s">
        <v>43</v>
      </c>
    </row>
    <row r="74" spans="1:4" x14ac:dyDescent="0.25">
      <c r="A74" t="s">
        <v>160</v>
      </c>
      <c r="B74" t="s">
        <v>163</v>
      </c>
      <c r="C74" t="s">
        <v>163</v>
      </c>
      <c r="D74" t="s">
        <v>43</v>
      </c>
    </row>
    <row r="75" spans="1:4" x14ac:dyDescent="0.25">
      <c r="A75" t="s">
        <v>160</v>
      </c>
      <c r="B75" t="s">
        <v>163</v>
      </c>
      <c r="C75" t="s">
        <v>164</v>
      </c>
      <c r="D75" t="s">
        <v>45</v>
      </c>
    </row>
    <row r="76" spans="1:4" x14ac:dyDescent="0.25">
      <c r="A76" t="s">
        <v>160</v>
      </c>
      <c r="B76" t="s">
        <v>164</v>
      </c>
      <c r="C76" t="s">
        <v>161</v>
      </c>
      <c r="D76" t="s">
        <v>43</v>
      </c>
    </row>
    <row r="77" spans="1:4" x14ac:dyDescent="0.25">
      <c r="A77" t="s">
        <v>160</v>
      </c>
      <c r="B77" t="s">
        <v>164</v>
      </c>
      <c r="C77" t="s">
        <v>162</v>
      </c>
      <c r="D77" t="s">
        <v>44</v>
      </c>
    </row>
    <row r="78" spans="1:4" x14ac:dyDescent="0.25">
      <c r="A78" t="s">
        <v>160</v>
      </c>
      <c r="B78" t="s">
        <v>164</v>
      </c>
      <c r="C78" t="s">
        <v>163</v>
      </c>
      <c r="D78" t="s">
        <v>46</v>
      </c>
    </row>
    <row r="79" spans="1:4" x14ac:dyDescent="0.25">
      <c r="A79" t="s">
        <v>160</v>
      </c>
      <c r="B79" t="s">
        <v>164</v>
      </c>
      <c r="C79" t="s">
        <v>164</v>
      </c>
      <c r="D79" t="s">
        <v>43</v>
      </c>
    </row>
    <row r="80" spans="1:4" x14ac:dyDescent="0.25">
      <c r="A80" t="s">
        <v>160</v>
      </c>
      <c r="B80" t="s">
        <v>165</v>
      </c>
      <c r="C80" t="s">
        <v>161</v>
      </c>
      <c r="D80" t="s">
        <v>44</v>
      </c>
    </row>
    <row r="81" spans="1:4" x14ac:dyDescent="0.25">
      <c r="A81" t="s">
        <v>160</v>
      </c>
      <c r="B81" t="s">
        <v>165</v>
      </c>
      <c r="C81" t="s">
        <v>162</v>
      </c>
      <c r="D81" t="s">
        <v>43</v>
      </c>
    </row>
    <row r="82" spans="1:4" x14ac:dyDescent="0.25">
      <c r="A82" t="s">
        <v>160</v>
      </c>
      <c r="B82" t="s">
        <v>165</v>
      </c>
      <c r="C82" t="s">
        <v>163</v>
      </c>
      <c r="D82" t="s">
        <v>43</v>
      </c>
    </row>
    <row r="83" spans="1:4" x14ac:dyDescent="0.25">
      <c r="A83" t="s">
        <v>160</v>
      </c>
      <c r="B83" t="s">
        <v>165</v>
      </c>
      <c r="C83" t="s">
        <v>164</v>
      </c>
      <c r="D83" t="s">
        <v>45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E0949B-7841-4881-8575-323F1FD64852}">
          <x14:formula1>
            <xm:f>CONFIG!$A$4:$A$11</xm:f>
          </x14:formula1>
          <xm:sqref>D4:D83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9"/>
  <sheetViews>
    <sheetView showGridLines="0" topLeftCell="A12" zoomScale="130" zoomScaleNormal="130" workbookViewId="0">
      <selection activeCell="E9" sqref="E9"/>
    </sheetView>
  </sheetViews>
  <sheetFormatPr defaultRowHeight="15" x14ac:dyDescent="0.25"/>
  <cols>
    <col min="1" max="1" width="12" bestFit="1" customWidth="1"/>
    <col min="2" max="2" width="16.85546875" bestFit="1" customWidth="1"/>
    <col min="3" max="3" width="15.85546875" bestFit="1" customWidth="1"/>
    <col min="4" max="4" width="23.85546875" bestFit="1" customWidth="1"/>
    <col min="5" max="5" width="13.5703125" bestFit="1" customWidth="1"/>
    <col min="6" max="6" width="9.42578125" bestFit="1" customWidth="1"/>
    <col min="8" max="8" width="11.140625" bestFit="1" customWidth="1"/>
  </cols>
  <sheetData>
    <row r="1" spans="1:8" ht="17.25" customHeight="1" x14ac:dyDescent="0.25">
      <c r="A1" s="36" t="s">
        <v>92</v>
      </c>
      <c r="B1" s="34"/>
      <c r="C1" s="34"/>
      <c r="D1" s="34"/>
      <c r="E1" s="34"/>
      <c r="F1" s="34"/>
    </row>
    <row r="2" spans="1:8" x14ac:dyDescent="0.25">
      <c r="A2" s="15" t="s">
        <v>93</v>
      </c>
      <c r="B2" s="15" t="s">
        <v>94</v>
      </c>
      <c r="C2" s="15" t="s">
        <v>95</v>
      </c>
      <c r="D2" s="15" t="s">
        <v>96</v>
      </c>
      <c r="E2" s="15" t="s">
        <v>97</v>
      </c>
      <c r="F2" s="15" t="s">
        <v>97</v>
      </c>
    </row>
    <row r="3" spans="1:8" x14ac:dyDescent="0.25">
      <c r="A3" t="s">
        <v>71</v>
      </c>
      <c r="B3" t="s">
        <v>98</v>
      </c>
      <c r="C3" t="s">
        <v>7</v>
      </c>
      <c r="D3" t="s">
        <v>99</v>
      </c>
      <c r="E3" t="s">
        <v>100</v>
      </c>
      <c r="F3" t="s">
        <v>101</v>
      </c>
    </row>
    <row r="4" spans="1:8" x14ac:dyDescent="0.25">
      <c r="A4" t="s">
        <v>76</v>
      </c>
      <c r="B4" s="14">
        <v>46023</v>
      </c>
      <c r="C4" t="s">
        <v>104</v>
      </c>
      <c r="E4" s="13">
        <f t="shared" ref="E4:E67" si="0">IF(B4="","",WEEKNUM(B4,1))</f>
        <v>1</v>
      </c>
      <c r="F4" s="13" t="str">
        <f t="shared" ref="F4:F67" si="1">IF(B4="","",TEXT(B4,"mmmm"))</f>
        <v>janeiro</v>
      </c>
      <c r="H4" s="22"/>
    </row>
    <row r="5" spans="1:8" x14ac:dyDescent="0.25">
      <c r="A5" t="s">
        <v>74</v>
      </c>
      <c r="B5" s="14">
        <v>46023</v>
      </c>
      <c r="C5" t="s">
        <v>104</v>
      </c>
      <c r="E5" s="13">
        <f t="shared" si="0"/>
        <v>1</v>
      </c>
      <c r="F5" s="13" t="str">
        <f t="shared" si="1"/>
        <v>janeiro</v>
      </c>
      <c r="H5" s="22"/>
    </row>
    <row r="6" spans="1:8" x14ac:dyDescent="0.25">
      <c r="A6" t="s">
        <v>74</v>
      </c>
      <c r="B6" s="14">
        <v>46023</v>
      </c>
      <c r="C6" t="s">
        <v>104</v>
      </c>
      <c r="E6" s="13">
        <f t="shared" si="0"/>
        <v>1</v>
      </c>
      <c r="F6" s="13" t="str">
        <f t="shared" si="1"/>
        <v>janeiro</v>
      </c>
    </row>
    <row r="7" spans="1:8" x14ac:dyDescent="0.25">
      <c r="A7" t="s">
        <v>195</v>
      </c>
      <c r="B7" s="14">
        <v>46025</v>
      </c>
      <c r="C7" t="s">
        <v>105</v>
      </c>
      <c r="E7" s="13">
        <f t="shared" si="0"/>
        <v>1</v>
      </c>
      <c r="F7" s="13" t="str">
        <f t="shared" si="1"/>
        <v>janeiro</v>
      </c>
    </row>
    <row r="8" spans="1:8" x14ac:dyDescent="0.25">
      <c r="A8" t="s">
        <v>252</v>
      </c>
      <c r="B8" s="14">
        <v>46025</v>
      </c>
      <c r="C8" t="s">
        <v>105</v>
      </c>
      <c r="E8" s="13">
        <f t="shared" si="0"/>
        <v>1</v>
      </c>
      <c r="F8" s="13" t="str">
        <f t="shared" si="1"/>
        <v>janeiro</v>
      </c>
    </row>
    <row r="9" spans="1:8" x14ac:dyDescent="0.25">
      <c r="A9" t="s">
        <v>253</v>
      </c>
      <c r="B9" s="14">
        <v>46025</v>
      </c>
      <c r="C9" t="s">
        <v>102</v>
      </c>
      <c r="D9" t="s">
        <v>103</v>
      </c>
      <c r="E9" s="13">
        <f t="shared" si="0"/>
        <v>1</v>
      </c>
      <c r="F9" s="13" t="str">
        <f t="shared" si="1"/>
        <v>janeiro</v>
      </c>
    </row>
    <row r="10" spans="1:8" x14ac:dyDescent="0.25">
      <c r="A10" t="s">
        <v>79</v>
      </c>
      <c r="B10" s="14">
        <v>46026</v>
      </c>
      <c r="C10" t="s">
        <v>105</v>
      </c>
      <c r="E10" s="13">
        <f t="shared" si="0"/>
        <v>2</v>
      </c>
      <c r="F10" s="13" t="str">
        <f t="shared" si="1"/>
        <v>janeiro</v>
      </c>
    </row>
    <row r="11" spans="1:8" x14ac:dyDescent="0.25">
      <c r="A11" t="s">
        <v>188</v>
      </c>
      <c r="B11" s="14">
        <v>46026</v>
      </c>
      <c r="C11" t="s">
        <v>105</v>
      </c>
      <c r="E11" s="13">
        <f t="shared" si="0"/>
        <v>2</v>
      </c>
      <c r="F11" s="13" t="str">
        <f t="shared" si="1"/>
        <v>janeiro</v>
      </c>
    </row>
    <row r="12" spans="1:8" x14ac:dyDescent="0.25">
      <c r="A12" t="s">
        <v>73</v>
      </c>
      <c r="B12" s="14">
        <v>46026</v>
      </c>
      <c r="C12" t="s">
        <v>102</v>
      </c>
      <c r="D12" t="s">
        <v>106</v>
      </c>
      <c r="E12" s="13">
        <f t="shared" si="0"/>
        <v>2</v>
      </c>
      <c r="F12" s="13" t="str">
        <f t="shared" si="1"/>
        <v>janeiro</v>
      </c>
    </row>
    <row r="13" spans="1:8" x14ac:dyDescent="0.25">
      <c r="A13" t="s">
        <v>75</v>
      </c>
      <c r="B13" s="14">
        <v>46027</v>
      </c>
      <c r="C13" t="s">
        <v>105</v>
      </c>
      <c r="E13" s="13">
        <f t="shared" si="0"/>
        <v>2</v>
      </c>
      <c r="F13" s="13" t="str">
        <f t="shared" si="1"/>
        <v>janeiro</v>
      </c>
    </row>
    <row r="14" spans="1:8" x14ac:dyDescent="0.25">
      <c r="A14" t="s">
        <v>229</v>
      </c>
      <c r="B14" s="14">
        <v>46027</v>
      </c>
      <c r="C14" t="s">
        <v>105</v>
      </c>
      <c r="E14" s="13">
        <f t="shared" si="0"/>
        <v>2</v>
      </c>
      <c r="F14" s="13" t="str">
        <f t="shared" si="1"/>
        <v>janeiro</v>
      </c>
    </row>
    <row r="15" spans="1:8" x14ac:dyDescent="0.25">
      <c r="A15" t="s">
        <v>76</v>
      </c>
      <c r="B15" s="14">
        <v>46027</v>
      </c>
      <c r="C15" t="s">
        <v>104</v>
      </c>
      <c r="E15" s="13">
        <f t="shared" si="0"/>
        <v>2</v>
      </c>
      <c r="F15" s="13" t="str">
        <f t="shared" si="1"/>
        <v>janeiro</v>
      </c>
    </row>
    <row r="16" spans="1:8" x14ac:dyDescent="0.25">
      <c r="A16" t="s">
        <v>74</v>
      </c>
      <c r="B16" s="14">
        <v>46027</v>
      </c>
      <c r="C16" t="s">
        <v>105</v>
      </c>
      <c r="E16" s="13">
        <f t="shared" si="0"/>
        <v>2</v>
      </c>
      <c r="F16" s="13" t="str">
        <f t="shared" si="1"/>
        <v>janeiro</v>
      </c>
    </row>
    <row r="17" spans="1:6" x14ac:dyDescent="0.25">
      <c r="A17" t="s">
        <v>74</v>
      </c>
      <c r="B17" s="14">
        <v>46028</v>
      </c>
      <c r="C17" t="s">
        <v>104</v>
      </c>
      <c r="E17" s="13">
        <f t="shared" si="0"/>
        <v>2</v>
      </c>
      <c r="F17" s="13" t="str">
        <f t="shared" si="1"/>
        <v>janeiro</v>
      </c>
    </row>
    <row r="18" spans="1:6" x14ac:dyDescent="0.25">
      <c r="A18" t="s">
        <v>214</v>
      </c>
      <c r="B18" s="14">
        <v>46029</v>
      </c>
      <c r="C18" t="s">
        <v>104</v>
      </c>
      <c r="E18" s="13">
        <f t="shared" si="0"/>
        <v>2</v>
      </c>
      <c r="F18" s="13" t="str">
        <f t="shared" si="1"/>
        <v>janeiro</v>
      </c>
    </row>
    <row r="19" spans="1:6" x14ac:dyDescent="0.25">
      <c r="A19" t="s">
        <v>235</v>
      </c>
      <c r="B19" s="14">
        <v>46029</v>
      </c>
      <c r="C19" t="s">
        <v>104</v>
      </c>
      <c r="E19" s="13">
        <f t="shared" si="0"/>
        <v>2</v>
      </c>
      <c r="F19" s="13" t="str">
        <f t="shared" si="1"/>
        <v>janeiro</v>
      </c>
    </row>
    <row r="20" spans="1:6" x14ac:dyDescent="0.25">
      <c r="A20" t="s">
        <v>182</v>
      </c>
      <c r="B20" s="14">
        <v>46030</v>
      </c>
      <c r="C20" t="s">
        <v>105</v>
      </c>
      <c r="E20" s="13">
        <f t="shared" si="0"/>
        <v>2</v>
      </c>
      <c r="F20" s="13" t="str">
        <f t="shared" si="1"/>
        <v>janeiro</v>
      </c>
    </row>
    <row r="21" spans="1:6" x14ac:dyDescent="0.25">
      <c r="A21" t="s">
        <v>72</v>
      </c>
      <c r="B21" s="14">
        <v>46031</v>
      </c>
      <c r="C21" t="s">
        <v>104</v>
      </c>
      <c r="E21" s="13">
        <f t="shared" si="0"/>
        <v>2</v>
      </c>
      <c r="F21" s="13" t="str">
        <f t="shared" si="1"/>
        <v>janeiro</v>
      </c>
    </row>
    <row r="22" spans="1:6" x14ac:dyDescent="0.25">
      <c r="A22" t="s">
        <v>76</v>
      </c>
      <c r="B22" s="14">
        <v>46031</v>
      </c>
      <c r="C22" t="s">
        <v>104</v>
      </c>
      <c r="E22" s="13">
        <f t="shared" si="0"/>
        <v>2</v>
      </c>
      <c r="F22" s="13" t="str">
        <f t="shared" si="1"/>
        <v>janeiro</v>
      </c>
    </row>
    <row r="23" spans="1:6" x14ac:dyDescent="0.25">
      <c r="A23" t="s">
        <v>289</v>
      </c>
      <c r="B23" s="14">
        <v>46031</v>
      </c>
      <c r="C23" t="s">
        <v>104</v>
      </c>
      <c r="E23" s="13">
        <f t="shared" si="0"/>
        <v>2</v>
      </c>
      <c r="F23" s="13" t="str">
        <f t="shared" si="1"/>
        <v>janeiro</v>
      </c>
    </row>
    <row r="24" spans="1:6" x14ac:dyDescent="0.25">
      <c r="A24" t="s">
        <v>74</v>
      </c>
      <c r="B24" s="14">
        <v>46032</v>
      </c>
      <c r="C24" t="s">
        <v>104</v>
      </c>
      <c r="E24" s="13">
        <f t="shared" si="0"/>
        <v>2</v>
      </c>
      <c r="F24" s="13" t="str">
        <f t="shared" si="1"/>
        <v>janeiro</v>
      </c>
    </row>
    <row r="25" spans="1:6" x14ac:dyDescent="0.25">
      <c r="A25" t="s">
        <v>213</v>
      </c>
      <c r="B25" s="14">
        <v>46032</v>
      </c>
      <c r="C25" t="s">
        <v>104</v>
      </c>
      <c r="E25" s="13">
        <f t="shared" si="0"/>
        <v>2</v>
      </c>
      <c r="F25" s="13" t="str">
        <f t="shared" si="1"/>
        <v>janeiro</v>
      </c>
    </row>
    <row r="26" spans="1:6" x14ac:dyDescent="0.25">
      <c r="A26" t="s">
        <v>74</v>
      </c>
      <c r="B26" s="14">
        <v>46032</v>
      </c>
      <c r="C26" t="s">
        <v>104</v>
      </c>
      <c r="E26" s="13">
        <f t="shared" si="0"/>
        <v>2</v>
      </c>
      <c r="F26" s="13" t="str">
        <f t="shared" si="1"/>
        <v>janeiro</v>
      </c>
    </row>
    <row r="27" spans="1:6" x14ac:dyDescent="0.25">
      <c r="A27" t="s">
        <v>210</v>
      </c>
      <c r="B27" s="14">
        <v>46033</v>
      </c>
      <c r="C27" t="s">
        <v>105</v>
      </c>
      <c r="E27" s="13">
        <f t="shared" si="0"/>
        <v>3</v>
      </c>
      <c r="F27" s="13" t="str">
        <f t="shared" si="1"/>
        <v>janeiro</v>
      </c>
    </row>
    <row r="28" spans="1:6" x14ac:dyDescent="0.25">
      <c r="A28" t="s">
        <v>76</v>
      </c>
      <c r="B28" s="14">
        <v>46034</v>
      </c>
      <c r="C28" t="s">
        <v>104</v>
      </c>
      <c r="E28" s="13">
        <f t="shared" si="0"/>
        <v>3</v>
      </c>
      <c r="F28" s="13" t="str">
        <f t="shared" si="1"/>
        <v>janeiro</v>
      </c>
    </row>
    <row r="29" spans="1:6" x14ac:dyDescent="0.25">
      <c r="A29" t="s">
        <v>74</v>
      </c>
      <c r="B29" s="14">
        <v>46035</v>
      </c>
      <c r="C29" t="s">
        <v>105</v>
      </c>
      <c r="E29" s="13">
        <f t="shared" si="0"/>
        <v>3</v>
      </c>
      <c r="F29" s="13" t="str">
        <f t="shared" si="1"/>
        <v>janeiro</v>
      </c>
    </row>
    <row r="30" spans="1:6" x14ac:dyDescent="0.25">
      <c r="A30" t="s">
        <v>288</v>
      </c>
      <c r="B30" s="14">
        <v>46035</v>
      </c>
      <c r="C30" t="s">
        <v>102</v>
      </c>
      <c r="D30" t="s">
        <v>103</v>
      </c>
      <c r="E30" s="13">
        <f t="shared" si="0"/>
        <v>3</v>
      </c>
      <c r="F30" s="13" t="str">
        <f t="shared" si="1"/>
        <v>janeiro</v>
      </c>
    </row>
    <row r="31" spans="1:6" x14ac:dyDescent="0.25">
      <c r="A31" t="s">
        <v>76</v>
      </c>
      <c r="B31" s="14">
        <v>46037</v>
      </c>
      <c r="C31" t="s">
        <v>104</v>
      </c>
      <c r="E31" s="13">
        <f t="shared" si="0"/>
        <v>3</v>
      </c>
      <c r="F31" s="13" t="str">
        <f t="shared" si="1"/>
        <v>janeiro</v>
      </c>
    </row>
    <row r="32" spans="1:6" x14ac:dyDescent="0.25">
      <c r="A32" t="s">
        <v>236</v>
      </c>
      <c r="B32" s="14">
        <v>46037</v>
      </c>
      <c r="C32" t="s">
        <v>105</v>
      </c>
      <c r="E32" s="13">
        <f t="shared" si="0"/>
        <v>3</v>
      </c>
      <c r="F32" s="13" t="str">
        <f t="shared" si="1"/>
        <v>janeiro</v>
      </c>
    </row>
    <row r="33" spans="1:6" x14ac:dyDescent="0.25">
      <c r="A33" t="s">
        <v>76</v>
      </c>
      <c r="B33" s="14">
        <v>46037</v>
      </c>
      <c r="C33" t="s">
        <v>104</v>
      </c>
      <c r="E33" s="13">
        <f t="shared" si="0"/>
        <v>3</v>
      </c>
      <c r="F33" s="13" t="str">
        <f t="shared" si="1"/>
        <v>janeiro</v>
      </c>
    </row>
    <row r="34" spans="1:6" x14ac:dyDescent="0.25">
      <c r="A34" t="s">
        <v>198</v>
      </c>
      <c r="B34" s="14">
        <v>46038</v>
      </c>
      <c r="C34" t="s">
        <v>104</v>
      </c>
      <c r="E34" s="13">
        <f t="shared" si="0"/>
        <v>3</v>
      </c>
      <c r="F34" s="13" t="str">
        <f t="shared" si="1"/>
        <v>janeiro</v>
      </c>
    </row>
    <row r="35" spans="1:6" x14ac:dyDescent="0.25">
      <c r="A35" t="s">
        <v>75</v>
      </c>
      <c r="B35" s="14">
        <v>46038</v>
      </c>
      <c r="C35" t="s">
        <v>105</v>
      </c>
      <c r="E35" s="13">
        <f t="shared" si="0"/>
        <v>3</v>
      </c>
      <c r="F35" s="13" t="str">
        <f t="shared" si="1"/>
        <v>janeiro</v>
      </c>
    </row>
    <row r="36" spans="1:6" x14ac:dyDescent="0.25">
      <c r="A36" t="s">
        <v>89</v>
      </c>
      <c r="B36" s="14">
        <v>46040</v>
      </c>
      <c r="C36" t="s">
        <v>104</v>
      </c>
      <c r="E36" s="13">
        <f t="shared" si="0"/>
        <v>4</v>
      </c>
      <c r="F36" s="13" t="str">
        <f t="shared" si="1"/>
        <v>janeiro</v>
      </c>
    </row>
    <row r="37" spans="1:6" x14ac:dyDescent="0.25">
      <c r="A37" t="s">
        <v>232</v>
      </c>
      <c r="B37" s="14">
        <v>46040</v>
      </c>
      <c r="C37" t="s">
        <v>102</v>
      </c>
      <c r="D37" t="s">
        <v>103</v>
      </c>
      <c r="E37" s="13">
        <f t="shared" si="0"/>
        <v>4</v>
      </c>
      <c r="F37" s="13" t="str">
        <f t="shared" si="1"/>
        <v>janeiro</v>
      </c>
    </row>
    <row r="38" spans="1:6" x14ac:dyDescent="0.25">
      <c r="A38" t="s">
        <v>283</v>
      </c>
      <c r="B38" s="14">
        <v>46040</v>
      </c>
      <c r="C38" t="s">
        <v>104</v>
      </c>
      <c r="E38" s="13">
        <f t="shared" si="0"/>
        <v>4</v>
      </c>
      <c r="F38" s="13" t="str">
        <f t="shared" si="1"/>
        <v>janeiro</v>
      </c>
    </row>
    <row r="39" spans="1:6" x14ac:dyDescent="0.25">
      <c r="A39" t="s">
        <v>292</v>
      </c>
      <c r="B39" s="14">
        <v>46040</v>
      </c>
      <c r="C39" t="s">
        <v>105</v>
      </c>
      <c r="E39" s="13">
        <f t="shared" si="0"/>
        <v>4</v>
      </c>
      <c r="F39" s="13" t="str">
        <f t="shared" si="1"/>
        <v>janeiro</v>
      </c>
    </row>
    <row r="40" spans="1:6" x14ac:dyDescent="0.25">
      <c r="A40" t="s">
        <v>76</v>
      </c>
      <c r="B40" s="14">
        <v>46041</v>
      </c>
      <c r="C40" t="s">
        <v>104</v>
      </c>
      <c r="E40" s="13">
        <f t="shared" si="0"/>
        <v>4</v>
      </c>
      <c r="F40" s="13" t="str">
        <f t="shared" si="1"/>
        <v>janeiro</v>
      </c>
    </row>
    <row r="41" spans="1:6" x14ac:dyDescent="0.25">
      <c r="A41" t="s">
        <v>226</v>
      </c>
      <c r="B41" s="14">
        <v>46042</v>
      </c>
      <c r="C41" t="s">
        <v>104</v>
      </c>
      <c r="E41" s="13">
        <f t="shared" si="0"/>
        <v>4</v>
      </c>
      <c r="F41" s="13" t="str">
        <f t="shared" si="1"/>
        <v>janeiro</v>
      </c>
    </row>
    <row r="42" spans="1:6" x14ac:dyDescent="0.25">
      <c r="A42" t="s">
        <v>300</v>
      </c>
      <c r="B42" s="14">
        <v>46042</v>
      </c>
      <c r="C42" t="s">
        <v>105</v>
      </c>
      <c r="E42" s="13">
        <f t="shared" si="0"/>
        <v>4</v>
      </c>
      <c r="F42" s="13" t="str">
        <f t="shared" si="1"/>
        <v>janeiro</v>
      </c>
    </row>
    <row r="43" spans="1:6" x14ac:dyDescent="0.25">
      <c r="A43" t="s">
        <v>73</v>
      </c>
      <c r="B43" s="14">
        <v>46043</v>
      </c>
      <c r="C43" t="s">
        <v>102</v>
      </c>
      <c r="D43" t="s">
        <v>106</v>
      </c>
      <c r="E43" s="13">
        <f t="shared" si="0"/>
        <v>4</v>
      </c>
      <c r="F43" s="13" t="str">
        <f t="shared" si="1"/>
        <v>janeiro</v>
      </c>
    </row>
    <row r="44" spans="1:6" x14ac:dyDescent="0.25">
      <c r="A44" t="s">
        <v>208</v>
      </c>
      <c r="B44" s="14">
        <v>46045</v>
      </c>
      <c r="C44" t="s">
        <v>105</v>
      </c>
      <c r="E44" s="13">
        <f t="shared" si="0"/>
        <v>4</v>
      </c>
      <c r="F44" s="13" t="str">
        <f t="shared" si="1"/>
        <v>janeiro</v>
      </c>
    </row>
    <row r="45" spans="1:6" x14ac:dyDescent="0.25">
      <c r="A45" t="s">
        <v>276</v>
      </c>
      <c r="B45" s="14">
        <v>46045</v>
      </c>
      <c r="C45" t="s">
        <v>104</v>
      </c>
      <c r="E45" s="13">
        <f t="shared" si="0"/>
        <v>4</v>
      </c>
      <c r="F45" s="13" t="str">
        <f t="shared" si="1"/>
        <v>janeiro</v>
      </c>
    </row>
    <row r="46" spans="1:6" x14ac:dyDescent="0.25">
      <c r="A46" t="s">
        <v>239</v>
      </c>
      <c r="B46" s="14">
        <v>46046</v>
      </c>
      <c r="C46" t="s">
        <v>102</v>
      </c>
      <c r="D46" t="s">
        <v>103</v>
      </c>
      <c r="E46" s="13">
        <f t="shared" si="0"/>
        <v>4</v>
      </c>
      <c r="F46" s="13" t="str">
        <f t="shared" si="1"/>
        <v>janeiro</v>
      </c>
    </row>
    <row r="47" spans="1:6" x14ac:dyDescent="0.25">
      <c r="A47" t="s">
        <v>87</v>
      </c>
      <c r="B47" s="14">
        <v>46048</v>
      </c>
      <c r="C47" t="s">
        <v>105</v>
      </c>
      <c r="E47" s="13">
        <f t="shared" si="0"/>
        <v>5</v>
      </c>
      <c r="F47" s="13" t="str">
        <f t="shared" si="1"/>
        <v>janeiro</v>
      </c>
    </row>
    <row r="48" spans="1:6" x14ac:dyDescent="0.25">
      <c r="A48" t="s">
        <v>175</v>
      </c>
      <c r="B48" s="14">
        <v>46048</v>
      </c>
      <c r="C48" t="s">
        <v>105</v>
      </c>
      <c r="E48" s="13">
        <f t="shared" si="0"/>
        <v>5</v>
      </c>
      <c r="F48" s="13" t="str">
        <f t="shared" si="1"/>
        <v>janeiro</v>
      </c>
    </row>
    <row r="49" spans="1:6" x14ac:dyDescent="0.25">
      <c r="A49" t="s">
        <v>225</v>
      </c>
      <c r="B49" s="14">
        <v>46048</v>
      </c>
      <c r="C49" t="s">
        <v>102</v>
      </c>
      <c r="D49" t="s">
        <v>103</v>
      </c>
      <c r="E49" s="13">
        <f t="shared" si="0"/>
        <v>5</v>
      </c>
      <c r="F49" s="13" t="str">
        <f t="shared" si="1"/>
        <v>janeiro</v>
      </c>
    </row>
    <row r="50" spans="1:6" x14ac:dyDescent="0.25">
      <c r="A50" t="s">
        <v>296</v>
      </c>
      <c r="B50" s="14">
        <v>46048</v>
      </c>
      <c r="C50" t="s">
        <v>104</v>
      </c>
      <c r="E50" s="13">
        <f t="shared" si="0"/>
        <v>5</v>
      </c>
      <c r="F50" s="13" t="str">
        <f t="shared" si="1"/>
        <v>janeiro</v>
      </c>
    </row>
    <row r="51" spans="1:6" x14ac:dyDescent="0.25">
      <c r="A51" t="s">
        <v>82</v>
      </c>
      <c r="B51" s="14">
        <v>46049</v>
      </c>
      <c r="C51" t="s">
        <v>102</v>
      </c>
      <c r="D51" t="s">
        <v>103</v>
      </c>
      <c r="E51" s="13">
        <f t="shared" si="0"/>
        <v>5</v>
      </c>
      <c r="F51" s="13" t="str">
        <f t="shared" si="1"/>
        <v>janeiro</v>
      </c>
    </row>
    <row r="52" spans="1:6" x14ac:dyDescent="0.25">
      <c r="A52" t="s">
        <v>280</v>
      </c>
      <c r="B52" s="14">
        <v>46049</v>
      </c>
      <c r="C52" t="s">
        <v>105</v>
      </c>
      <c r="E52" s="13">
        <f t="shared" si="0"/>
        <v>5</v>
      </c>
      <c r="F52" s="13" t="str">
        <f t="shared" si="1"/>
        <v>janeiro</v>
      </c>
    </row>
    <row r="53" spans="1:6" x14ac:dyDescent="0.25">
      <c r="A53" t="s">
        <v>215</v>
      </c>
      <c r="B53" s="14">
        <v>46050</v>
      </c>
      <c r="C53" t="s">
        <v>105</v>
      </c>
      <c r="E53" s="13">
        <f t="shared" si="0"/>
        <v>5</v>
      </c>
      <c r="F53" s="13" t="str">
        <f t="shared" si="1"/>
        <v>janeiro</v>
      </c>
    </row>
    <row r="54" spans="1:6" x14ac:dyDescent="0.25">
      <c r="A54" t="s">
        <v>75</v>
      </c>
      <c r="B54" s="14">
        <v>46051</v>
      </c>
      <c r="C54" t="s">
        <v>105</v>
      </c>
      <c r="E54" s="13">
        <f t="shared" si="0"/>
        <v>5</v>
      </c>
      <c r="F54" s="13" t="str">
        <f t="shared" si="1"/>
        <v>janeiro</v>
      </c>
    </row>
    <row r="55" spans="1:6" x14ac:dyDescent="0.25">
      <c r="A55" t="s">
        <v>202</v>
      </c>
      <c r="B55" s="14">
        <v>46051</v>
      </c>
      <c r="C55" t="s">
        <v>105</v>
      </c>
      <c r="E55" s="13">
        <f t="shared" si="0"/>
        <v>5</v>
      </c>
      <c r="F55" s="13" t="str">
        <f t="shared" si="1"/>
        <v>janeiro</v>
      </c>
    </row>
    <row r="56" spans="1:6" x14ac:dyDescent="0.25">
      <c r="A56" t="s">
        <v>73</v>
      </c>
      <c r="B56" s="14">
        <v>46051</v>
      </c>
      <c r="C56" t="s">
        <v>102</v>
      </c>
      <c r="D56" t="s">
        <v>106</v>
      </c>
      <c r="E56" s="13">
        <f t="shared" si="0"/>
        <v>5</v>
      </c>
      <c r="F56" s="13" t="str">
        <f t="shared" si="1"/>
        <v>janeiro</v>
      </c>
    </row>
    <row r="57" spans="1:6" x14ac:dyDescent="0.25">
      <c r="A57" t="s">
        <v>74</v>
      </c>
      <c r="B57" s="14">
        <v>46051</v>
      </c>
      <c r="C57" t="s">
        <v>104</v>
      </c>
      <c r="E57" s="13">
        <f t="shared" si="0"/>
        <v>5</v>
      </c>
      <c r="F57" s="13" t="str">
        <f t="shared" si="1"/>
        <v>janeiro</v>
      </c>
    </row>
    <row r="58" spans="1:6" x14ac:dyDescent="0.25">
      <c r="A58" t="s">
        <v>91</v>
      </c>
      <c r="B58" s="14">
        <v>46052</v>
      </c>
      <c r="C58" t="s">
        <v>104</v>
      </c>
      <c r="E58" s="13">
        <f t="shared" si="0"/>
        <v>5</v>
      </c>
      <c r="F58" s="13" t="str">
        <f t="shared" si="1"/>
        <v>janeiro</v>
      </c>
    </row>
    <row r="59" spans="1:6" x14ac:dyDescent="0.25">
      <c r="A59" t="s">
        <v>212</v>
      </c>
      <c r="B59" s="14">
        <v>46052</v>
      </c>
      <c r="C59" t="s">
        <v>104</v>
      </c>
      <c r="E59" s="13">
        <f t="shared" si="0"/>
        <v>5</v>
      </c>
      <c r="F59" s="13" t="str">
        <f t="shared" si="1"/>
        <v>janeiro</v>
      </c>
    </row>
    <row r="60" spans="1:6" x14ac:dyDescent="0.25">
      <c r="A60" t="s">
        <v>224</v>
      </c>
      <c r="B60" s="14">
        <v>46054</v>
      </c>
      <c r="C60" t="s">
        <v>105</v>
      </c>
      <c r="E60" s="13">
        <f t="shared" si="0"/>
        <v>6</v>
      </c>
      <c r="F60" s="13" t="str">
        <f t="shared" si="1"/>
        <v>fevereiro</v>
      </c>
    </row>
    <row r="61" spans="1:6" x14ac:dyDescent="0.25">
      <c r="A61" t="s">
        <v>250</v>
      </c>
      <c r="B61" s="14">
        <v>46054</v>
      </c>
      <c r="C61" t="s">
        <v>105</v>
      </c>
      <c r="E61" s="13">
        <f t="shared" si="0"/>
        <v>6</v>
      </c>
      <c r="F61" s="13" t="str">
        <f t="shared" si="1"/>
        <v>fevereiro</v>
      </c>
    </row>
    <row r="62" spans="1:6" x14ac:dyDescent="0.25">
      <c r="A62" t="s">
        <v>255</v>
      </c>
      <c r="B62" s="14">
        <v>46054</v>
      </c>
      <c r="C62" t="s">
        <v>104</v>
      </c>
      <c r="E62" s="13">
        <f t="shared" si="0"/>
        <v>6</v>
      </c>
      <c r="F62" s="13" t="str">
        <f t="shared" si="1"/>
        <v>fevereiro</v>
      </c>
    </row>
    <row r="63" spans="1:6" x14ac:dyDescent="0.25">
      <c r="A63" t="s">
        <v>89</v>
      </c>
      <c r="B63" s="14">
        <v>46054</v>
      </c>
      <c r="C63" t="s">
        <v>102</v>
      </c>
      <c r="D63" t="s">
        <v>103</v>
      </c>
      <c r="E63" s="13">
        <f t="shared" si="0"/>
        <v>6</v>
      </c>
      <c r="F63" s="13" t="str">
        <f t="shared" si="1"/>
        <v>fevereiro</v>
      </c>
    </row>
    <row r="64" spans="1:6" x14ac:dyDescent="0.25">
      <c r="A64" t="s">
        <v>76</v>
      </c>
      <c r="B64" s="14">
        <v>46054</v>
      </c>
      <c r="C64" t="s">
        <v>104</v>
      </c>
      <c r="E64" s="13">
        <f t="shared" si="0"/>
        <v>6</v>
      </c>
      <c r="F64" s="13" t="str">
        <f t="shared" si="1"/>
        <v>fevereiro</v>
      </c>
    </row>
    <row r="65" spans="1:6" x14ac:dyDescent="0.25">
      <c r="A65" t="s">
        <v>171</v>
      </c>
      <c r="B65" s="14">
        <v>46055</v>
      </c>
      <c r="C65" t="s">
        <v>104</v>
      </c>
      <c r="E65" s="13">
        <f t="shared" si="0"/>
        <v>6</v>
      </c>
      <c r="F65" s="13" t="str">
        <f t="shared" si="1"/>
        <v>fevereiro</v>
      </c>
    </row>
    <row r="66" spans="1:6" x14ac:dyDescent="0.25">
      <c r="A66" t="s">
        <v>76</v>
      </c>
      <c r="B66" s="14">
        <v>46055</v>
      </c>
      <c r="C66" t="s">
        <v>104</v>
      </c>
      <c r="E66" s="13">
        <f t="shared" si="0"/>
        <v>6</v>
      </c>
      <c r="F66" s="13" t="str">
        <f t="shared" si="1"/>
        <v>fevereiro</v>
      </c>
    </row>
    <row r="67" spans="1:6" x14ac:dyDescent="0.25">
      <c r="A67" t="s">
        <v>86</v>
      </c>
      <c r="B67" s="14">
        <v>46055</v>
      </c>
      <c r="C67" t="s">
        <v>105</v>
      </c>
      <c r="E67" s="13">
        <f t="shared" si="0"/>
        <v>6</v>
      </c>
      <c r="F67" s="13" t="str">
        <f t="shared" si="1"/>
        <v>fevereiro</v>
      </c>
    </row>
    <row r="68" spans="1:6" x14ac:dyDescent="0.25">
      <c r="A68" t="s">
        <v>199</v>
      </c>
      <c r="B68" s="14">
        <v>46056</v>
      </c>
      <c r="C68" t="s">
        <v>104</v>
      </c>
      <c r="E68" s="13">
        <f t="shared" ref="E68:E131" si="2">IF(B68="","",WEEKNUM(B68,1))</f>
        <v>6</v>
      </c>
      <c r="F68" s="13" t="str">
        <f t="shared" ref="F68:F131" si="3">IF(B68="","",TEXT(B68,"mmmm"))</f>
        <v>fevereiro</v>
      </c>
    </row>
    <row r="69" spans="1:6" x14ac:dyDescent="0.25">
      <c r="A69" t="s">
        <v>277</v>
      </c>
      <c r="B69" s="14">
        <v>46056</v>
      </c>
      <c r="C69" t="s">
        <v>104</v>
      </c>
      <c r="E69" s="13">
        <f t="shared" si="2"/>
        <v>6</v>
      </c>
      <c r="F69" s="13" t="str">
        <f t="shared" si="3"/>
        <v>fevereiro</v>
      </c>
    </row>
    <row r="70" spans="1:6" x14ac:dyDescent="0.25">
      <c r="A70" t="s">
        <v>281</v>
      </c>
      <c r="B70" s="14">
        <v>46057</v>
      </c>
      <c r="C70" t="s">
        <v>102</v>
      </c>
      <c r="D70" t="s">
        <v>103</v>
      </c>
      <c r="E70" s="13">
        <f t="shared" si="2"/>
        <v>6</v>
      </c>
      <c r="F70" s="13" t="str">
        <f t="shared" si="3"/>
        <v>fevereiro</v>
      </c>
    </row>
    <row r="71" spans="1:6" x14ac:dyDescent="0.25">
      <c r="A71" t="s">
        <v>73</v>
      </c>
      <c r="B71" s="14">
        <v>46057</v>
      </c>
      <c r="C71" t="s">
        <v>102</v>
      </c>
      <c r="D71" t="s">
        <v>106</v>
      </c>
      <c r="E71" s="13">
        <f t="shared" si="2"/>
        <v>6</v>
      </c>
      <c r="F71" s="13" t="str">
        <f t="shared" si="3"/>
        <v>fevereiro</v>
      </c>
    </row>
    <row r="72" spans="1:6" x14ac:dyDescent="0.25">
      <c r="A72" t="s">
        <v>74</v>
      </c>
      <c r="B72" s="14">
        <v>46058</v>
      </c>
      <c r="C72" t="s">
        <v>104</v>
      </c>
      <c r="E72" s="13">
        <f t="shared" si="2"/>
        <v>6</v>
      </c>
      <c r="F72" s="13" t="str">
        <f t="shared" si="3"/>
        <v>fevereiro</v>
      </c>
    </row>
    <row r="73" spans="1:6" x14ac:dyDescent="0.25">
      <c r="A73" t="s">
        <v>282</v>
      </c>
      <c r="B73" s="14">
        <v>46058</v>
      </c>
      <c r="C73" t="s">
        <v>104</v>
      </c>
      <c r="E73" s="13">
        <f t="shared" si="2"/>
        <v>6</v>
      </c>
      <c r="F73" s="13" t="str">
        <f t="shared" si="3"/>
        <v>fevereiro</v>
      </c>
    </row>
    <row r="74" spans="1:6" x14ac:dyDescent="0.25">
      <c r="A74" t="s">
        <v>303</v>
      </c>
      <c r="B74" s="14">
        <v>46058</v>
      </c>
      <c r="C74" t="s">
        <v>104</v>
      </c>
      <c r="E74" s="13">
        <f t="shared" si="2"/>
        <v>6</v>
      </c>
      <c r="F74" s="13" t="str">
        <f t="shared" si="3"/>
        <v>fevereiro</v>
      </c>
    </row>
    <row r="75" spans="1:6" x14ac:dyDescent="0.25">
      <c r="A75" t="s">
        <v>73</v>
      </c>
      <c r="B75" s="14">
        <v>46058</v>
      </c>
      <c r="C75" t="s">
        <v>102</v>
      </c>
      <c r="D75" t="s">
        <v>106</v>
      </c>
      <c r="E75" s="13">
        <f t="shared" si="2"/>
        <v>6</v>
      </c>
      <c r="F75" s="13" t="str">
        <f t="shared" si="3"/>
        <v>fevereiro</v>
      </c>
    </row>
    <row r="76" spans="1:6" x14ac:dyDescent="0.25">
      <c r="A76" t="s">
        <v>73</v>
      </c>
      <c r="B76" s="14">
        <v>46059</v>
      </c>
      <c r="C76" t="s">
        <v>102</v>
      </c>
      <c r="D76" t="s">
        <v>106</v>
      </c>
      <c r="E76" s="13">
        <f t="shared" si="2"/>
        <v>6</v>
      </c>
      <c r="F76" s="13" t="str">
        <f t="shared" si="3"/>
        <v>fevereiro</v>
      </c>
    </row>
    <row r="77" spans="1:6" x14ac:dyDescent="0.25">
      <c r="A77" t="s">
        <v>166</v>
      </c>
      <c r="B77" s="14">
        <v>46059</v>
      </c>
      <c r="C77" t="s">
        <v>104</v>
      </c>
      <c r="E77" s="13">
        <f t="shared" si="2"/>
        <v>6</v>
      </c>
      <c r="F77" s="13" t="str">
        <f t="shared" si="3"/>
        <v>fevereiro</v>
      </c>
    </row>
    <row r="78" spans="1:6" x14ac:dyDescent="0.25">
      <c r="A78" t="s">
        <v>74</v>
      </c>
      <c r="B78" s="14">
        <v>46060</v>
      </c>
      <c r="C78" t="s">
        <v>104</v>
      </c>
      <c r="E78" s="13">
        <f t="shared" si="2"/>
        <v>6</v>
      </c>
      <c r="F78" s="13" t="str">
        <f t="shared" si="3"/>
        <v>fevereiro</v>
      </c>
    </row>
    <row r="79" spans="1:6" x14ac:dyDescent="0.25">
      <c r="A79" t="s">
        <v>76</v>
      </c>
      <c r="B79" s="14">
        <v>46061</v>
      </c>
      <c r="C79" t="s">
        <v>104</v>
      </c>
      <c r="E79" s="13">
        <f t="shared" si="2"/>
        <v>7</v>
      </c>
      <c r="F79" s="13" t="str">
        <f t="shared" si="3"/>
        <v>fevereiro</v>
      </c>
    </row>
    <row r="80" spans="1:6" x14ac:dyDescent="0.25">
      <c r="A80" t="s">
        <v>249</v>
      </c>
      <c r="B80" s="14">
        <v>46061</v>
      </c>
      <c r="C80" t="s">
        <v>104</v>
      </c>
      <c r="E80" s="13">
        <f t="shared" si="2"/>
        <v>7</v>
      </c>
      <c r="F80" s="13" t="str">
        <f t="shared" si="3"/>
        <v>fevereiro</v>
      </c>
    </row>
    <row r="81" spans="1:6" x14ac:dyDescent="0.25">
      <c r="A81" t="s">
        <v>181</v>
      </c>
      <c r="B81" s="14">
        <v>46062</v>
      </c>
      <c r="C81" t="s">
        <v>105</v>
      </c>
      <c r="E81" s="13">
        <f t="shared" si="2"/>
        <v>7</v>
      </c>
      <c r="F81" s="13" t="str">
        <f t="shared" si="3"/>
        <v>fevereiro</v>
      </c>
    </row>
    <row r="82" spans="1:6" x14ac:dyDescent="0.25">
      <c r="A82" t="s">
        <v>268</v>
      </c>
      <c r="B82" s="14">
        <v>46062</v>
      </c>
      <c r="C82" t="s">
        <v>104</v>
      </c>
      <c r="E82" s="13">
        <f t="shared" si="2"/>
        <v>7</v>
      </c>
      <c r="F82" s="13" t="str">
        <f t="shared" si="3"/>
        <v>fevereiro</v>
      </c>
    </row>
    <row r="83" spans="1:6" x14ac:dyDescent="0.25">
      <c r="A83" t="s">
        <v>217</v>
      </c>
      <c r="B83" s="14">
        <v>46063</v>
      </c>
      <c r="C83" t="s">
        <v>105</v>
      </c>
      <c r="E83" s="13">
        <f t="shared" si="2"/>
        <v>7</v>
      </c>
      <c r="F83" s="13" t="str">
        <f t="shared" si="3"/>
        <v>fevereiro</v>
      </c>
    </row>
    <row r="84" spans="1:6" x14ac:dyDescent="0.25">
      <c r="A84" t="s">
        <v>305</v>
      </c>
      <c r="B84" s="14">
        <v>46063</v>
      </c>
      <c r="C84" t="s">
        <v>104</v>
      </c>
      <c r="E84" s="13">
        <f t="shared" si="2"/>
        <v>7</v>
      </c>
      <c r="F84" s="13" t="str">
        <f t="shared" si="3"/>
        <v>fevereiro</v>
      </c>
    </row>
    <row r="85" spans="1:6" x14ac:dyDescent="0.25">
      <c r="A85" t="s">
        <v>75</v>
      </c>
      <c r="B85" s="14">
        <v>46064</v>
      </c>
      <c r="C85" t="s">
        <v>105</v>
      </c>
      <c r="E85" s="13">
        <f t="shared" si="2"/>
        <v>7</v>
      </c>
      <c r="F85" s="13" t="str">
        <f t="shared" si="3"/>
        <v>fevereiro</v>
      </c>
    </row>
    <row r="86" spans="1:6" x14ac:dyDescent="0.25">
      <c r="A86" t="s">
        <v>74</v>
      </c>
      <c r="B86" s="14">
        <v>46064</v>
      </c>
      <c r="C86" t="s">
        <v>105</v>
      </c>
      <c r="E86" s="13">
        <f t="shared" si="2"/>
        <v>7</v>
      </c>
      <c r="F86" s="13" t="str">
        <f t="shared" si="3"/>
        <v>fevereiro</v>
      </c>
    </row>
    <row r="87" spans="1:6" x14ac:dyDescent="0.25">
      <c r="A87" t="s">
        <v>74</v>
      </c>
      <c r="B87" s="14">
        <v>46064</v>
      </c>
      <c r="C87" t="s">
        <v>105</v>
      </c>
      <c r="E87" s="13">
        <f t="shared" si="2"/>
        <v>7</v>
      </c>
      <c r="F87" s="13" t="str">
        <f t="shared" si="3"/>
        <v>fevereiro</v>
      </c>
    </row>
    <row r="88" spans="1:6" x14ac:dyDescent="0.25">
      <c r="A88" t="s">
        <v>88</v>
      </c>
      <c r="B88" s="14">
        <v>46066</v>
      </c>
      <c r="C88" t="s">
        <v>104</v>
      </c>
      <c r="E88" s="13">
        <f t="shared" si="2"/>
        <v>7</v>
      </c>
      <c r="F88" s="13" t="str">
        <f t="shared" si="3"/>
        <v>fevereiro</v>
      </c>
    </row>
    <row r="89" spans="1:6" x14ac:dyDescent="0.25">
      <c r="A89" t="s">
        <v>74</v>
      </c>
      <c r="B89" s="14">
        <v>46066</v>
      </c>
      <c r="C89" t="s">
        <v>105</v>
      </c>
      <c r="E89" s="13">
        <f t="shared" si="2"/>
        <v>7</v>
      </c>
      <c r="F89" s="13" t="str">
        <f t="shared" si="3"/>
        <v>fevereiro</v>
      </c>
    </row>
    <row r="90" spans="1:6" x14ac:dyDescent="0.25">
      <c r="A90" t="s">
        <v>78</v>
      </c>
      <c r="B90" s="14">
        <v>46067</v>
      </c>
      <c r="C90" t="s">
        <v>105</v>
      </c>
      <c r="E90" s="13">
        <f t="shared" si="2"/>
        <v>7</v>
      </c>
      <c r="F90" s="13" t="str">
        <f t="shared" si="3"/>
        <v>fevereiro</v>
      </c>
    </row>
    <row r="91" spans="1:6" x14ac:dyDescent="0.25">
      <c r="A91" t="s">
        <v>184</v>
      </c>
      <c r="B91" s="14">
        <v>46067</v>
      </c>
      <c r="C91" t="s">
        <v>104</v>
      </c>
      <c r="E91" s="13">
        <f t="shared" si="2"/>
        <v>7</v>
      </c>
      <c r="F91" s="13" t="str">
        <f t="shared" si="3"/>
        <v>fevereiro</v>
      </c>
    </row>
    <row r="92" spans="1:6" x14ac:dyDescent="0.25">
      <c r="A92" t="s">
        <v>190</v>
      </c>
      <c r="B92" s="14">
        <v>46067</v>
      </c>
      <c r="C92" t="s">
        <v>102</v>
      </c>
      <c r="D92" t="s">
        <v>103</v>
      </c>
      <c r="E92" s="13">
        <f t="shared" si="2"/>
        <v>7</v>
      </c>
      <c r="F92" s="13" t="str">
        <f t="shared" si="3"/>
        <v>fevereiro</v>
      </c>
    </row>
    <row r="93" spans="1:6" x14ac:dyDescent="0.25">
      <c r="A93" t="s">
        <v>194</v>
      </c>
      <c r="B93" s="14">
        <v>46067</v>
      </c>
      <c r="C93" t="s">
        <v>105</v>
      </c>
      <c r="E93" s="13">
        <f t="shared" si="2"/>
        <v>7</v>
      </c>
      <c r="F93" s="13" t="str">
        <f t="shared" si="3"/>
        <v>fevereiro</v>
      </c>
    </row>
    <row r="94" spans="1:6" x14ac:dyDescent="0.25">
      <c r="A94" t="s">
        <v>196</v>
      </c>
      <c r="B94" s="14">
        <v>46067</v>
      </c>
      <c r="C94" t="s">
        <v>105</v>
      </c>
      <c r="E94" s="13">
        <f t="shared" si="2"/>
        <v>7</v>
      </c>
      <c r="F94" s="13" t="str">
        <f t="shared" si="3"/>
        <v>fevereiro</v>
      </c>
    </row>
    <row r="95" spans="1:6" x14ac:dyDescent="0.25">
      <c r="A95" t="s">
        <v>263</v>
      </c>
      <c r="B95" s="14">
        <v>46067</v>
      </c>
      <c r="C95" t="s">
        <v>104</v>
      </c>
      <c r="E95" s="13">
        <f t="shared" si="2"/>
        <v>7</v>
      </c>
      <c r="F95" s="13" t="str">
        <f t="shared" si="3"/>
        <v>fevereiro</v>
      </c>
    </row>
    <row r="96" spans="1:6" x14ac:dyDescent="0.25">
      <c r="A96" t="s">
        <v>74</v>
      </c>
      <c r="B96" s="14">
        <v>46068</v>
      </c>
      <c r="C96" t="s">
        <v>105</v>
      </c>
      <c r="E96" s="13">
        <f t="shared" si="2"/>
        <v>8</v>
      </c>
      <c r="F96" s="13" t="str">
        <f t="shared" si="3"/>
        <v>fevereiro</v>
      </c>
    </row>
    <row r="97" spans="1:6" x14ac:dyDescent="0.25">
      <c r="A97" t="s">
        <v>74</v>
      </c>
      <c r="B97" s="14">
        <v>46069</v>
      </c>
      <c r="C97" t="s">
        <v>104</v>
      </c>
      <c r="E97" s="13">
        <f t="shared" si="2"/>
        <v>8</v>
      </c>
      <c r="F97" s="13" t="str">
        <f t="shared" si="3"/>
        <v>fevereiro</v>
      </c>
    </row>
    <row r="98" spans="1:6" x14ac:dyDescent="0.25">
      <c r="A98" t="s">
        <v>200</v>
      </c>
      <c r="B98" s="14">
        <v>46069</v>
      </c>
      <c r="C98" t="s">
        <v>104</v>
      </c>
      <c r="E98" s="13">
        <f t="shared" si="2"/>
        <v>8</v>
      </c>
      <c r="F98" s="13" t="str">
        <f t="shared" si="3"/>
        <v>fevereiro</v>
      </c>
    </row>
    <row r="99" spans="1:6" x14ac:dyDescent="0.25">
      <c r="A99" t="s">
        <v>74</v>
      </c>
      <c r="B99" s="14">
        <v>46069</v>
      </c>
      <c r="C99" t="s">
        <v>104</v>
      </c>
      <c r="E99" s="13">
        <f t="shared" si="2"/>
        <v>8</v>
      </c>
      <c r="F99" s="13" t="str">
        <f t="shared" si="3"/>
        <v>fevereiro</v>
      </c>
    </row>
    <row r="100" spans="1:6" x14ac:dyDescent="0.25">
      <c r="A100" t="s">
        <v>76</v>
      </c>
      <c r="B100" s="14">
        <v>46069</v>
      </c>
      <c r="C100" t="s">
        <v>104</v>
      </c>
      <c r="E100" s="13">
        <f t="shared" si="2"/>
        <v>8</v>
      </c>
      <c r="F100" s="13" t="str">
        <f t="shared" si="3"/>
        <v>fevereiro</v>
      </c>
    </row>
    <row r="101" spans="1:6" x14ac:dyDescent="0.25">
      <c r="A101" t="s">
        <v>73</v>
      </c>
      <c r="B101" s="14">
        <v>46069</v>
      </c>
      <c r="C101" t="s">
        <v>102</v>
      </c>
      <c r="D101" t="s">
        <v>106</v>
      </c>
      <c r="E101" s="13">
        <f t="shared" si="2"/>
        <v>8</v>
      </c>
      <c r="F101" s="13" t="str">
        <f t="shared" si="3"/>
        <v>fevereiro</v>
      </c>
    </row>
    <row r="102" spans="1:6" x14ac:dyDescent="0.25">
      <c r="A102" t="s">
        <v>73</v>
      </c>
      <c r="B102" s="14">
        <v>46070</v>
      </c>
      <c r="C102" t="s">
        <v>102</v>
      </c>
      <c r="D102" t="s">
        <v>106</v>
      </c>
      <c r="E102" s="13">
        <f t="shared" si="2"/>
        <v>8</v>
      </c>
      <c r="F102" s="13" t="str">
        <f t="shared" si="3"/>
        <v>fevereiro</v>
      </c>
    </row>
    <row r="103" spans="1:6" x14ac:dyDescent="0.25">
      <c r="A103" t="s">
        <v>75</v>
      </c>
      <c r="B103" s="14">
        <v>46070</v>
      </c>
      <c r="C103" t="s">
        <v>105</v>
      </c>
      <c r="E103" s="13">
        <f t="shared" si="2"/>
        <v>8</v>
      </c>
      <c r="F103" s="13" t="str">
        <f t="shared" si="3"/>
        <v>fevereiro</v>
      </c>
    </row>
    <row r="104" spans="1:6" x14ac:dyDescent="0.25">
      <c r="A104" t="s">
        <v>298</v>
      </c>
      <c r="B104" s="14">
        <v>46070</v>
      </c>
      <c r="C104" t="s">
        <v>104</v>
      </c>
      <c r="E104" s="13">
        <f t="shared" si="2"/>
        <v>8</v>
      </c>
      <c r="F104" s="13" t="str">
        <f t="shared" si="3"/>
        <v>fevereiro</v>
      </c>
    </row>
    <row r="105" spans="1:6" x14ac:dyDescent="0.25">
      <c r="A105" t="s">
        <v>73</v>
      </c>
      <c r="B105" s="14">
        <v>46072</v>
      </c>
      <c r="C105" t="s">
        <v>102</v>
      </c>
      <c r="D105" t="s">
        <v>106</v>
      </c>
      <c r="E105" s="13">
        <f t="shared" si="2"/>
        <v>8</v>
      </c>
      <c r="F105" s="13" t="str">
        <f t="shared" si="3"/>
        <v>fevereiro</v>
      </c>
    </row>
    <row r="106" spans="1:6" x14ac:dyDescent="0.25">
      <c r="A106" t="s">
        <v>309</v>
      </c>
      <c r="B106" s="14">
        <v>46072</v>
      </c>
      <c r="C106" t="s">
        <v>102</v>
      </c>
      <c r="D106" t="s">
        <v>103</v>
      </c>
      <c r="E106" s="13">
        <f t="shared" si="2"/>
        <v>8</v>
      </c>
      <c r="F106" s="13" t="str">
        <f t="shared" si="3"/>
        <v>fevereiro</v>
      </c>
    </row>
    <row r="107" spans="1:6" x14ac:dyDescent="0.25">
      <c r="A107" t="s">
        <v>75</v>
      </c>
      <c r="B107" s="14">
        <v>46072</v>
      </c>
      <c r="C107" t="s">
        <v>105</v>
      </c>
      <c r="E107" s="13">
        <f t="shared" si="2"/>
        <v>8</v>
      </c>
      <c r="F107" s="13" t="str">
        <f t="shared" si="3"/>
        <v>fevereiro</v>
      </c>
    </row>
    <row r="108" spans="1:6" x14ac:dyDescent="0.25">
      <c r="A108" t="s">
        <v>73</v>
      </c>
      <c r="B108" s="14">
        <v>46073</v>
      </c>
      <c r="C108" t="s">
        <v>102</v>
      </c>
      <c r="D108" t="s">
        <v>106</v>
      </c>
      <c r="E108" s="13">
        <f t="shared" si="2"/>
        <v>8</v>
      </c>
      <c r="F108" s="13" t="str">
        <f t="shared" si="3"/>
        <v>fevereiro</v>
      </c>
    </row>
    <row r="109" spans="1:6" x14ac:dyDescent="0.25">
      <c r="A109" t="s">
        <v>173</v>
      </c>
      <c r="B109" s="14">
        <v>46074</v>
      </c>
      <c r="C109" t="s">
        <v>105</v>
      </c>
      <c r="E109" s="13">
        <f t="shared" si="2"/>
        <v>8</v>
      </c>
      <c r="F109" s="13" t="str">
        <f t="shared" si="3"/>
        <v>fevereiro</v>
      </c>
    </row>
    <row r="110" spans="1:6" x14ac:dyDescent="0.25">
      <c r="A110" t="s">
        <v>186</v>
      </c>
      <c r="B110" s="14">
        <v>46074</v>
      </c>
      <c r="C110" t="s">
        <v>104</v>
      </c>
      <c r="E110" s="13">
        <f t="shared" si="2"/>
        <v>8</v>
      </c>
      <c r="F110" s="13" t="str">
        <f t="shared" si="3"/>
        <v>fevereiro</v>
      </c>
    </row>
    <row r="111" spans="1:6" x14ac:dyDescent="0.25">
      <c r="A111" t="s">
        <v>205</v>
      </c>
      <c r="B111" s="14">
        <v>46074</v>
      </c>
      <c r="C111" t="s">
        <v>104</v>
      </c>
      <c r="E111" s="13">
        <f t="shared" si="2"/>
        <v>8</v>
      </c>
      <c r="F111" s="13" t="str">
        <f t="shared" si="3"/>
        <v>fevereiro</v>
      </c>
    </row>
    <row r="112" spans="1:6" x14ac:dyDescent="0.25">
      <c r="A112" t="s">
        <v>76</v>
      </c>
      <c r="B112" s="14">
        <v>46074</v>
      </c>
      <c r="C112" t="s">
        <v>104</v>
      </c>
      <c r="E112" s="13">
        <f t="shared" si="2"/>
        <v>8</v>
      </c>
      <c r="F112" s="13" t="str">
        <f t="shared" si="3"/>
        <v>fevereiro</v>
      </c>
    </row>
    <row r="113" spans="1:6" x14ac:dyDescent="0.25">
      <c r="A113" t="s">
        <v>76</v>
      </c>
      <c r="B113" s="14">
        <v>46075</v>
      </c>
      <c r="C113" t="s">
        <v>104</v>
      </c>
      <c r="E113" s="13">
        <f t="shared" si="2"/>
        <v>9</v>
      </c>
      <c r="F113" s="13" t="str">
        <f t="shared" si="3"/>
        <v>fevereiro</v>
      </c>
    </row>
    <row r="114" spans="1:6" x14ac:dyDescent="0.25">
      <c r="A114" t="s">
        <v>75</v>
      </c>
      <c r="B114" s="14">
        <v>46075</v>
      </c>
      <c r="C114" t="s">
        <v>105</v>
      </c>
      <c r="E114" s="13">
        <f t="shared" si="2"/>
        <v>9</v>
      </c>
      <c r="F114" s="13" t="str">
        <f t="shared" si="3"/>
        <v>fevereiro</v>
      </c>
    </row>
    <row r="115" spans="1:6" x14ac:dyDescent="0.25">
      <c r="A115" t="s">
        <v>74</v>
      </c>
      <c r="B115" s="14">
        <v>46076</v>
      </c>
      <c r="C115" t="s">
        <v>105</v>
      </c>
      <c r="E115" s="13">
        <f t="shared" si="2"/>
        <v>9</v>
      </c>
      <c r="F115" s="13" t="str">
        <f t="shared" si="3"/>
        <v>fevereiro</v>
      </c>
    </row>
    <row r="116" spans="1:6" x14ac:dyDescent="0.25">
      <c r="A116" t="s">
        <v>206</v>
      </c>
      <c r="B116" s="14">
        <v>46077</v>
      </c>
      <c r="C116" t="s">
        <v>104</v>
      </c>
      <c r="E116" s="13">
        <f t="shared" si="2"/>
        <v>9</v>
      </c>
      <c r="F116" s="13" t="str">
        <f t="shared" si="3"/>
        <v>fevereiro</v>
      </c>
    </row>
    <row r="117" spans="1:6" x14ac:dyDescent="0.25">
      <c r="A117" t="s">
        <v>222</v>
      </c>
      <c r="B117" s="14">
        <v>46077</v>
      </c>
      <c r="C117" t="s">
        <v>105</v>
      </c>
      <c r="E117" s="13">
        <f t="shared" si="2"/>
        <v>9</v>
      </c>
      <c r="F117" s="13" t="str">
        <f t="shared" si="3"/>
        <v>fevereiro</v>
      </c>
    </row>
    <row r="118" spans="1:6" x14ac:dyDescent="0.25">
      <c r="A118" t="s">
        <v>220</v>
      </c>
      <c r="B118" s="14">
        <v>46078</v>
      </c>
      <c r="C118" t="s">
        <v>104</v>
      </c>
      <c r="E118" s="13">
        <f t="shared" si="2"/>
        <v>9</v>
      </c>
      <c r="F118" s="13" t="str">
        <f t="shared" si="3"/>
        <v>fevereiro</v>
      </c>
    </row>
    <row r="119" spans="1:6" x14ac:dyDescent="0.25">
      <c r="A119" t="s">
        <v>299</v>
      </c>
      <c r="B119" s="14">
        <v>46078</v>
      </c>
      <c r="C119" t="s">
        <v>105</v>
      </c>
      <c r="E119" s="13">
        <f t="shared" si="2"/>
        <v>9</v>
      </c>
      <c r="F119" s="13" t="str">
        <f t="shared" si="3"/>
        <v>fevereiro</v>
      </c>
    </row>
    <row r="120" spans="1:6" x14ac:dyDescent="0.25">
      <c r="A120" t="s">
        <v>74</v>
      </c>
      <c r="B120" s="14">
        <v>46079</v>
      </c>
      <c r="C120" t="s">
        <v>104</v>
      </c>
      <c r="E120" s="13">
        <f t="shared" si="2"/>
        <v>9</v>
      </c>
      <c r="F120" s="13" t="str">
        <f t="shared" si="3"/>
        <v>fevereiro</v>
      </c>
    </row>
    <row r="121" spans="1:6" x14ac:dyDescent="0.25">
      <c r="A121" t="s">
        <v>76</v>
      </c>
      <c r="B121" s="14">
        <v>46079</v>
      </c>
      <c r="C121" t="s">
        <v>104</v>
      </c>
      <c r="E121" s="13">
        <f t="shared" si="2"/>
        <v>9</v>
      </c>
      <c r="F121" s="13" t="str">
        <f t="shared" si="3"/>
        <v>fevereiro</v>
      </c>
    </row>
    <row r="122" spans="1:6" x14ac:dyDescent="0.25">
      <c r="A122" t="s">
        <v>251</v>
      </c>
      <c r="B122" s="14">
        <v>46080</v>
      </c>
      <c r="C122" t="s">
        <v>105</v>
      </c>
      <c r="E122" s="13">
        <f t="shared" si="2"/>
        <v>9</v>
      </c>
      <c r="F122" s="13" t="str">
        <f t="shared" si="3"/>
        <v>fevereiro</v>
      </c>
    </row>
    <row r="123" spans="1:6" x14ac:dyDescent="0.25">
      <c r="A123" t="s">
        <v>74</v>
      </c>
      <c r="B123" s="14">
        <v>46081</v>
      </c>
      <c r="C123" t="s">
        <v>104</v>
      </c>
      <c r="E123" s="13">
        <f t="shared" si="2"/>
        <v>9</v>
      </c>
      <c r="F123" s="13" t="str">
        <f t="shared" si="3"/>
        <v>fevereiro</v>
      </c>
    </row>
    <row r="124" spans="1:6" x14ac:dyDescent="0.25">
      <c r="A124" t="s">
        <v>76</v>
      </c>
      <c r="B124" s="14">
        <v>46081</v>
      </c>
      <c r="C124" t="s">
        <v>104</v>
      </c>
      <c r="E124" s="13">
        <f t="shared" si="2"/>
        <v>9</v>
      </c>
      <c r="F124" s="13" t="str">
        <f t="shared" si="3"/>
        <v>fevereiro</v>
      </c>
    </row>
    <row r="125" spans="1:6" x14ac:dyDescent="0.25">
      <c r="A125" t="s">
        <v>76</v>
      </c>
      <c r="B125" s="14">
        <v>46081</v>
      </c>
      <c r="C125" t="s">
        <v>104</v>
      </c>
      <c r="E125" s="13">
        <f t="shared" si="2"/>
        <v>9</v>
      </c>
      <c r="F125" s="13" t="str">
        <f t="shared" si="3"/>
        <v>fevereiro</v>
      </c>
    </row>
    <row r="126" spans="1:6" x14ac:dyDescent="0.25">
      <c r="A126" t="s">
        <v>170</v>
      </c>
      <c r="B126" s="14">
        <v>46082</v>
      </c>
      <c r="C126" t="s">
        <v>105</v>
      </c>
      <c r="E126" s="13">
        <f t="shared" si="2"/>
        <v>10</v>
      </c>
      <c r="F126" s="13" t="str">
        <f t="shared" si="3"/>
        <v>março</v>
      </c>
    </row>
    <row r="127" spans="1:6" x14ac:dyDescent="0.25">
      <c r="A127" t="s">
        <v>266</v>
      </c>
      <c r="B127" s="14">
        <v>46082</v>
      </c>
      <c r="C127" t="s">
        <v>105</v>
      </c>
      <c r="E127" s="13">
        <f t="shared" si="2"/>
        <v>10</v>
      </c>
      <c r="F127" s="13" t="str">
        <f t="shared" si="3"/>
        <v>março</v>
      </c>
    </row>
    <row r="128" spans="1:6" x14ac:dyDescent="0.25">
      <c r="A128" t="s">
        <v>74</v>
      </c>
      <c r="B128" s="14">
        <v>46083</v>
      </c>
      <c r="C128" t="s">
        <v>104</v>
      </c>
      <c r="E128" s="13">
        <f t="shared" si="2"/>
        <v>10</v>
      </c>
      <c r="F128" s="13" t="str">
        <f t="shared" si="3"/>
        <v>março</v>
      </c>
    </row>
    <row r="129" spans="1:6" x14ac:dyDescent="0.25">
      <c r="A129" t="s">
        <v>73</v>
      </c>
      <c r="B129" s="14">
        <v>46084</v>
      </c>
      <c r="C129" t="s">
        <v>102</v>
      </c>
      <c r="D129" t="s">
        <v>106</v>
      </c>
      <c r="E129" s="13">
        <f t="shared" si="2"/>
        <v>10</v>
      </c>
      <c r="F129" s="13" t="str">
        <f t="shared" si="3"/>
        <v>março</v>
      </c>
    </row>
    <row r="130" spans="1:6" x14ac:dyDescent="0.25">
      <c r="A130" t="s">
        <v>75</v>
      </c>
      <c r="B130" s="14">
        <v>46085</v>
      </c>
      <c r="C130" t="s">
        <v>105</v>
      </c>
      <c r="E130" s="13">
        <f t="shared" si="2"/>
        <v>10</v>
      </c>
      <c r="F130" s="13" t="str">
        <f t="shared" si="3"/>
        <v>março</v>
      </c>
    </row>
    <row r="131" spans="1:6" x14ac:dyDescent="0.25">
      <c r="A131" t="s">
        <v>189</v>
      </c>
      <c r="B131" s="14">
        <v>46086</v>
      </c>
      <c r="C131" t="s">
        <v>105</v>
      </c>
      <c r="E131" s="13">
        <f t="shared" si="2"/>
        <v>10</v>
      </c>
      <c r="F131" s="13" t="str">
        <f t="shared" si="3"/>
        <v>março</v>
      </c>
    </row>
    <row r="132" spans="1:6" x14ac:dyDescent="0.25">
      <c r="A132" t="s">
        <v>75</v>
      </c>
      <c r="B132" s="14">
        <v>46086</v>
      </c>
      <c r="C132" t="s">
        <v>105</v>
      </c>
      <c r="E132" s="13">
        <f t="shared" ref="E132:E195" si="4">IF(B132="","",WEEKNUM(B132,1))</f>
        <v>10</v>
      </c>
      <c r="F132" s="13" t="str">
        <f t="shared" ref="F132:F195" si="5">IF(B132="","",TEXT(B132,"mmmm"))</f>
        <v>março</v>
      </c>
    </row>
    <row r="133" spans="1:6" x14ac:dyDescent="0.25">
      <c r="A133" t="s">
        <v>287</v>
      </c>
      <c r="B133" s="14">
        <v>46086</v>
      </c>
      <c r="C133" t="s">
        <v>105</v>
      </c>
      <c r="E133" s="13">
        <f t="shared" si="4"/>
        <v>10</v>
      </c>
      <c r="F133" s="13" t="str">
        <f t="shared" si="5"/>
        <v>março</v>
      </c>
    </row>
    <row r="134" spans="1:6" x14ac:dyDescent="0.25">
      <c r="A134" t="s">
        <v>304</v>
      </c>
      <c r="B134" s="14">
        <v>46086</v>
      </c>
      <c r="C134" t="s">
        <v>104</v>
      </c>
      <c r="E134" s="13">
        <f t="shared" si="4"/>
        <v>10</v>
      </c>
      <c r="F134" s="13" t="str">
        <f t="shared" si="5"/>
        <v>março</v>
      </c>
    </row>
    <row r="135" spans="1:6" x14ac:dyDescent="0.25">
      <c r="A135" t="s">
        <v>262</v>
      </c>
      <c r="B135" s="14">
        <v>46087</v>
      </c>
      <c r="C135" t="s">
        <v>104</v>
      </c>
      <c r="E135" s="13">
        <f t="shared" si="4"/>
        <v>10</v>
      </c>
      <c r="F135" s="13" t="str">
        <f t="shared" si="5"/>
        <v>março</v>
      </c>
    </row>
    <row r="136" spans="1:6" x14ac:dyDescent="0.25">
      <c r="A136" t="s">
        <v>73</v>
      </c>
      <c r="B136" s="14">
        <v>46088</v>
      </c>
      <c r="C136" t="s">
        <v>102</v>
      </c>
      <c r="D136" t="s">
        <v>106</v>
      </c>
      <c r="E136" s="13">
        <f t="shared" si="4"/>
        <v>10</v>
      </c>
      <c r="F136" s="13" t="str">
        <f t="shared" si="5"/>
        <v>março</v>
      </c>
    </row>
    <row r="137" spans="1:6" x14ac:dyDescent="0.25">
      <c r="A137" t="s">
        <v>74</v>
      </c>
      <c r="B137" s="14">
        <v>46088</v>
      </c>
      <c r="C137" t="s">
        <v>104</v>
      </c>
      <c r="E137" s="13">
        <f t="shared" si="4"/>
        <v>10</v>
      </c>
      <c r="F137" s="13" t="str">
        <f t="shared" si="5"/>
        <v>março</v>
      </c>
    </row>
    <row r="138" spans="1:6" x14ac:dyDescent="0.25">
      <c r="A138" t="s">
        <v>76</v>
      </c>
      <c r="B138" s="14">
        <v>46088</v>
      </c>
      <c r="C138" t="s">
        <v>104</v>
      </c>
      <c r="E138" s="13">
        <f t="shared" si="4"/>
        <v>10</v>
      </c>
      <c r="F138" s="13" t="str">
        <f t="shared" si="5"/>
        <v>março</v>
      </c>
    </row>
    <row r="139" spans="1:6" x14ac:dyDescent="0.25">
      <c r="A139" t="s">
        <v>207</v>
      </c>
      <c r="B139" s="14">
        <v>46088</v>
      </c>
      <c r="C139" t="s">
        <v>104</v>
      </c>
      <c r="E139" s="13">
        <f t="shared" si="4"/>
        <v>10</v>
      </c>
      <c r="F139" s="13" t="str">
        <f t="shared" si="5"/>
        <v>março</v>
      </c>
    </row>
    <row r="140" spans="1:6" x14ac:dyDescent="0.25">
      <c r="A140" t="s">
        <v>76</v>
      </c>
      <c r="B140" s="14">
        <v>46089</v>
      </c>
      <c r="C140" t="s">
        <v>104</v>
      </c>
      <c r="E140" s="13">
        <f t="shared" si="4"/>
        <v>11</v>
      </c>
      <c r="F140" s="13" t="str">
        <f t="shared" si="5"/>
        <v>março</v>
      </c>
    </row>
    <row r="141" spans="1:6" x14ac:dyDescent="0.25">
      <c r="A141" t="s">
        <v>75</v>
      </c>
      <c r="B141" s="14">
        <v>46089</v>
      </c>
      <c r="C141" t="s">
        <v>105</v>
      </c>
      <c r="E141" s="13">
        <f t="shared" si="4"/>
        <v>11</v>
      </c>
      <c r="F141" s="13" t="str">
        <f t="shared" si="5"/>
        <v>março</v>
      </c>
    </row>
    <row r="142" spans="1:6" x14ac:dyDescent="0.25">
      <c r="A142" t="s">
        <v>295</v>
      </c>
      <c r="B142" s="14">
        <v>46089</v>
      </c>
      <c r="C142" t="s">
        <v>102</v>
      </c>
      <c r="D142" t="s">
        <v>103</v>
      </c>
      <c r="E142" s="13">
        <f t="shared" si="4"/>
        <v>11</v>
      </c>
      <c r="F142" s="13" t="str">
        <f t="shared" si="5"/>
        <v>março</v>
      </c>
    </row>
    <row r="143" spans="1:6" x14ac:dyDescent="0.25">
      <c r="A143" t="s">
        <v>76</v>
      </c>
      <c r="B143" s="14">
        <v>46090</v>
      </c>
      <c r="C143" t="s">
        <v>104</v>
      </c>
      <c r="E143" s="13">
        <f t="shared" si="4"/>
        <v>11</v>
      </c>
      <c r="F143" s="13" t="str">
        <f t="shared" si="5"/>
        <v>março</v>
      </c>
    </row>
    <row r="144" spans="1:6" x14ac:dyDescent="0.25">
      <c r="A144" t="s">
        <v>76</v>
      </c>
      <c r="B144" s="14">
        <v>46090</v>
      </c>
      <c r="C144" t="s">
        <v>104</v>
      </c>
      <c r="E144" s="13">
        <f t="shared" si="4"/>
        <v>11</v>
      </c>
      <c r="F144" s="13" t="str">
        <f t="shared" si="5"/>
        <v>março</v>
      </c>
    </row>
    <row r="145" spans="1:6" x14ac:dyDescent="0.25">
      <c r="A145" t="s">
        <v>265</v>
      </c>
      <c r="B145" s="14">
        <v>46090</v>
      </c>
      <c r="C145" t="s">
        <v>105</v>
      </c>
      <c r="E145" s="13">
        <f t="shared" si="4"/>
        <v>11</v>
      </c>
      <c r="F145" s="13" t="str">
        <f t="shared" si="5"/>
        <v>março</v>
      </c>
    </row>
    <row r="146" spans="1:6" x14ac:dyDescent="0.25">
      <c r="A146" t="s">
        <v>73</v>
      </c>
      <c r="B146" s="14">
        <v>46090</v>
      </c>
      <c r="C146" t="s">
        <v>102</v>
      </c>
      <c r="D146" t="s">
        <v>106</v>
      </c>
      <c r="E146" s="13">
        <f t="shared" si="4"/>
        <v>11</v>
      </c>
      <c r="F146" s="13" t="str">
        <f t="shared" si="5"/>
        <v>março</v>
      </c>
    </row>
    <row r="147" spans="1:6" x14ac:dyDescent="0.25">
      <c r="A147" t="s">
        <v>75</v>
      </c>
      <c r="B147" s="14">
        <v>46091</v>
      </c>
      <c r="C147" t="s">
        <v>105</v>
      </c>
      <c r="E147" s="13">
        <f t="shared" si="4"/>
        <v>11</v>
      </c>
      <c r="F147" s="13" t="str">
        <f t="shared" si="5"/>
        <v>março</v>
      </c>
    </row>
    <row r="148" spans="1:6" x14ac:dyDescent="0.25">
      <c r="A148" t="s">
        <v>231</v>
      </c>
      <c r="B148" s="14">
        <v>46091</v>
      </c>
      <c r="C148" t="s">
        <v>105</v>
      </c>
      <c r="E148" s="13">
        <f t="shared" si="4"/>
        <v>11</v>
      </c>
      <c r="F148" s="13" t="str">
        <f t="shared" si="5"/>
        <v>março</v>
      </c>
    </row>
    <row r="149" spans="1:6" x14ac:dyDescent="0.25">
      <c r="A149" t="s">
        <v>237</v>
      </c>
      <c r="B149" s="14">
        <v>46091</v>
      </c>
      <c r="C149" t="s">
        <v>105</v>
      </c>
      <c r="E149" s="13">
        <f t="shared" si="4"/>
        <v>11</v>
      </c>
      <c r="F149" s="13" t="str">
        <f t="shared" si="5"/>
        <v>março</v>
      </c>
    </row>
    <row r="150" spans="1:6" x14ac:dyDescent="0.25">
      <c r="A150" t="s">
        <v>243</v>
      </c>
      <c r="B150" s="14">
        <v>46091</v>
      </c>
      <c r="C150" t="s">
        <v>105</v>
      </c>
      <c r="E150" s="13">
        <f t="shared" si="4"/>
        <v>11</v>
      </c>
      <c r="F150" s="13" t="str">
        <f t="shared" si="5"/>
        <v>março</v>
      </c>
    </row>
    <row r="151" spans="1:6" x14ac:dyDescent="0.25">
      <c r="A151" t="s">
        <v>244</v>
      </c>
      <c r="B151" s="14">
        <v>46092</v>
      </c>
      <c r="C151" t="s">
        <v>105</v>
      </c>
      <c r="E151" s="13">
        <f t="shared" si="4"/>
        <v>11</v>
      </c>
      <c r="F151" s="13" t="str">
        <f t="shared" si="5"/>
        <v>março</v>
      </c>
    </row>
    <row r="152" spans="1:6" x14ac:dyDescent="0.25">
      <c r="A152" t="s">
        <v>75</v>
      </c>
      <c r="B152" s="14">
        <v>46093</v>
      </c>
      <c r="C152" t="s">
        <v>105</v>
      </c>
      <c r="E152" s="13">
        <f t="shared" si="4"/>
        <v>11</v>
      </c>
      <c r="F152" s="13" t="str">
        <f t="shared" si="5"/>
        <v>março</v>
      </c>
    </row>
    <row r="153" spans="1:6" x14ac:dyDescent="0.25">
      <c r="A153" t="s">
        <v>242</v>
      </c>
      <c r="B153" s="14">
        <v>46093</v>
      </c>
      <c r="C153" t="s">
        <v>104</v>
      </c>
      <c r="E153" s="13">
        <f t="shared" si="4"/>
        <v>11</v>
      </c>
      <c r="F153" s="13" t="str">
        <f t="shared" si="5"/>
        <v>março</v>
      </c>
    </row>
    <row r="154" spans="1:6" x14ac:dyDescent="0.25">
      <c r="A154" t="s">
        <v>74</v>
      </c>
      <c r="B154" s="14">
        <v>46095</v>
      </c>
      <c r="C154" t="s">
        <v>105</v>
      </c>
      <c r="E154" s="13">
        <f t="shared" si="4"/>
        <v>11</v>
      </c>
      <c r="F154" s="13" t="str">
        <f t="shared" si="5"/>
        <v>março</v>
      </c>
    </row>
    <row r="155" spans="1:6" x14ac:dyDescent="0.25">
      <c r="A155" t="s">
        <v>73</v>
      </c>
      <c r="B155" s="14">
        <v>46095</v>
      </c>
      <c r="C155" t="s">
        <v>102</v>
      </c>
      <c r="D155" t="s">
        <v>106</v>
      </c>
      <c r="E155" s="13">
        <f t="shared" si="4"/>
        <v>11</v>
      </c>
      <c r="F155" s="13" t="str">
        <f t="shared" si="5"/>
        <v>março</v>
      </c>
    </row>
    <row r="156" spans="1:6" x14ac:dyDescent="0.25">
      <c r="A156" t="s">
        <v>74</v>
      </c>
      <c r="B156" s="14">
        <v>46095</v>
      </c>
      <c r="C156" t="s">
        <v>104</v>
      </c>
      <c r="E156" s="13">
        <f t="shared" si="4"/>
        <v>11</v>
      </c>
      <c r="F156" s="13" t="str">
        <f t="shared" si="5"/>
        <v>março</v>
      </c>
    </row>
    <row r="157" spans="1:6" x14ac:dyDescent="0.25">
      <c r="A157" t="s">
        <v>257</v>
      </c>
      <c r="B157" s="14">
        <v>46095</v>
      </c>
      <c r="C157" t="s">
        <v>105</v>
      </c>
      <c r="E157" s="13">
        <f t="shared" si="4"/>
        <v>11</v>
      </c>
      <c r="F157" s="13" t="str">
        <f t="shared" si="5"/>
        <v>março</v>
      </c>
    </row>
    <row r="158" spans="1:6" x14ac:dyDescent="0.25">
      <c r="A158" t="s">
        <v>72</v>
      </c>
      <c r="B158" s="14">
        <v>46095</v>
      </c>
      <c r="C158" t="s">
        <v>104</v>
      </c>
      <c r="E158" s="13">
        <f t="shared" si="4"/>
        <v>11</v>
      </c>
      <c r="F158" s="13" t="str">
        <f t="shared" si="5"/>
        <v>março</v>
      </c>
    </row>
    <row r="159" spans="1:6" x14ac:dyDescent="0.25">
      <c r="A159" t="s">
        <v>272</v>
      </c>
      <c r="B159" s="14">
        <v>46096</v>
      </c>
      <c r="C159" t="s">
        <v>105</v>
      </c>
      <c r="E159" s="13">
        <f t="shared" si="4"/>
        <v>12</v>
      </c>
      <c r="F159" s="13" t="str">
        <f t="shared" si="5"/>
        <v>março</v>
      </c>
    </row>
    <row r="160" spans="1:6" x14ac:dyDescent="0.25">
      <c r="A160" t="s">
        <v>179</v>
      </c>
      <c r="B160" s="14">
        <v>46097</v>
      </c>
      <c r="C160" t="s">
        <v>104</v>
      </c>
      <c r="E160" s="13">
        <f t="shared" si="4"/>
        <v>12</v>
      </c>
      <c r="F160" s="13" t="str">
        <f t="shared" si="5"/>
        <v>março</v>
      </c>
    </row>
    <row r="161" spans="1:6" x14ac:dyDescent="0.25">
      <c r="A161" t="s">
        <v>187</v>
      </c>
      <c r="B161" s="14">
        <v>46098</v>
      </c>
      <c r="C161" t="s">
        <v>105</v>
      </c>
      <c r="E161" s="13">
        <f t="shared" si="4"/>
        <v>12</v>
      </c>
      <c r="F161" s="13" t="str">
        <f t="shared" si="5"/>
        <v>março</v>
      </c>
    </row>
    <row r="162" spans="1:6" x14ac:dyDescent="0.25">
      <c r="A162" t="s">
        <v>74</v>
      </c>
      <c r="B162" s="14">
        <v>46098</v>
      </c>
      <c r="C162" t="s">
        <v>105</v>
      </c>
      <c r="E162" s="13">
        <f t="shared" si="4"/>
        <v>12</v>
      </c>
      <c r="F162" s="13" t="str">
        <f t="shared" si="5"/>
        <v>março</v>
      </c>
    </row>
    <row r="163" spans="1:6" x14ac:dyDescent="0.25">
      <c r="A163" t="s">
        <v>294</v>
      </c>
      <c r="B163" s="14">
        <v>46098</v>
      </c>
      <c r="C163" t="s">
        <v>105</v>
      </c>
      <c r="E163" s="13">
        <f t="shared" si="4"/>
        <v>12</v>
      </c>
      <c r="F163" s="13" t="str">
        <f t="shared" si="5"/>
        <v>março</v>
      </c>
    </row>
    <row r="164" spans="1:6" x14ac:dyDescent="0.25">
      <c r="A164" t="s">
        <v>83</v>
      </c>
      <c r="B164" s="14">
        <v>46099</v>
      </c>
      <c r="C164" t="s">
        <v>102</v>
      </c>
      <c r="D164" t="s">
        <v>103</v>
      </c>
      <c r="E164" s="13">
        <f t="shared" si="4"/>
        <v>12</v>
      </c>
      <c r="F164" s="13" t="str">
        <f t="shared" si="5"/>
        <v>março</v>
      </c>
    </row>
    <row r="165" spans="1:6" x14ac:dyDescent="0.25">
      <c r="A165" t="s">
        <v>270</v>
      </c>
      <c r="B165" s="14">
        <v>46099</v>
      </c>
      <c r="C165" t="s">
        <v>104</v>
      </c>
      <c r="E165" s="13">
        <f t="shared" si="4"/>
        <v>12</v>
      </c>
      <c r="F165" s="13" t="str">
        <f t="shared" si="5"/>
        <v>março</v>
      </c>
    </row>
    <row r="166" spans="1:6" x14ac:dyDescent="0.25">
      <c r="A166" t="s">
        <v>211</v>
      </c>
      <c r="B166" s="14">
        <v>46100</v>
      </c>
      <c r="C166" t="s">
        <v>102</v>
      </c>
      <c r="D166" t="s">
        <v>103</v>
      </c>
      <c r="E166" s="13">
        <f t="shared" si="4"/>
        <v>12</v>
      </c>
      <c r="F166" s="13" t="str">
        <f t="shared" si="5"/>
        <v>março</v>
      </c>
    </row>
    <row r="167" spans="1:6" x14ac:dyDescent="0.25">
      <c r="A167" t="s">
        <v>228</v>
      </c>
      <c r="B167" s="14">
        <v>46100</v>
      </c>
      <c r="C167" t="s">
        <v>104</v>
      </c>
      <c r="E167" s="13">
        <f t="shared" si="4"/>
        <v>12</v>
      </c>
      <c r="F167" s="13" t="str">
        <f t="shared" si="5"/>
        <v>março</v>
      </c>
    </row>
    <row r="168" spans="1:6" x14ac:dyDescent="0.25">
      <c r="A168" t="s">
        <v>174</v>
      </c>
      <c r="B168" s="14">
        <v>46101</v>
      </c>
      <c r="C168" t="s">
        <v>105</v>
      </c>
      <c r="E168" s="13">
        <f t="shared" si="4"/>
        <v>12</v>
      </c>
      <c r="F168" s="13" t="str">
        <f t="shared" si="5"/>
        <v>março</v>
      </c>
    </row>
    <row r="169" spans="1:6" x14ac:dyDescent="0.25">
      <c r="A169" t="s">
        <v>73</v>
      </c>
      <c r="B169" s="14">
        <v>46101</v>
      </c>
      <c r="C169" t="s">
        <v>102</v>
      </c>
      <c r="D169" t="s">
        <v>106</v>
      </c>
      <c r="E169" s="13">
        <f t="shared" si="4"/>
        <v>12</v>
      </c>
      <c r="F169" s="13" t="str">
        <f t="shared" si="5"/>
        <v>março</v>
      </c>
    </row>
    <row r="170" spans="1:6" x14ac:dyDescent="0.25">
      <c r="A170" t="s">
        <v>74</v>
      </c>
      <c r="B170" s="14">
        <v>46102</v>
      </c>
      <c r="C170" t="s">
        <v>105</v>
      </c>
      <c r="E170" s="13">
        <f t="shared" si="4"/>
        <v>12</v>
      </c>
      <c r="F170" s="13" t="str">
        <f t="shared" si="5"/>
        <v>março</v>
      </c>
    </row>
    <row r="171" spans="1:6" x14ac:dyDescent="0.25">
      <c r="A171" t="s">
        <v>216</v>
      </c>
      <c r="B171" s="14">
        <v>46103</v>
      </c>
      <c r="C171" t="s">
        <v>105</v>
      </c>
      <c r="E171" s="13">
        <f t="shared" si="4"/>
        <v>13</v>
      </c>
      <c r="F171" s="13" t="str">
        <f t="shared" si="5"/>
        <v>março</v>
      </c>
    </row>
    <row r="172" spans="1:6" x14ac:dyDescent="0.25">
      <c r="A172" t="s">
        <v>73</v>
      </c>
      <c r="B172" s="14">
        <v>46104</v>
      </c>
      <c r="C172" t="s">
        <v>102</v>
      </c>
      <c r="D172" t="s">
        <v>106</v>
      </c>
      <c r="E172" s="13">
        <f t="shared" si="4"/>
        <v>13</v>
      </c>
      <c r="F172" s="13" t="str">
        <f t="shared" si="5"/>
        <v>março</v>
      </c>
    </row>
    <row r="173" spans="1:6" x14ac:dyDescent="0.25">
      <c r="A173" t="s">
        <v>293</v>
      </c>
      <c r="B173" s="14">
        <v>46104</v>
      </c>
      <c r="C173" t="s">
        <v>105</v>
      </c>
      <c r="E173" s="13">
        <f t="shared" si="4"/>
        <v>13</v>
      </c>
      <c r="F173" s="13" t="str">
        <f t="shared" si="5"/>
        <v>março</v>
      </c>
    </row>
    <row r="174" spans="1:6" x14ac:dyDescent="0.25">
      <c r="A174" t="s">
        <v>74</v>
      </c>
      <c r="B174" s="14">
        <v>46105</v>
      </c>
      <c r="C174" t="s">
        <v>104</v>
      </c>
      <c r="E174" s="13">
        <f t="shared" si="4"/>
        <v>13</v>
      </c>
      <c r="F174" s="13" t="str">
        <f t="shared" si="5"/>
        <v>março</v>
      </c>
    </row>
    <row r="175" spans="1:6" x14ac:dyDescent="0.25">
      <c r="A175" t="s">
        <v>73</v>
      </c>
      <c r="B175" s="14">
        <v>46107</v>
      </c>
      <c r="C175" t="s">
        <v>102</v>
      </c>
      <c r="D175" t="s">
        <v>106</v>
      </c>
      <c r="E175" s="13">
        <f t="shared" si="4"/>
        <v>13</v>
      </c>
      <c r="F175" s="13" t="str">
        <f t="shared" si="5"/>
        <v>março</v>
      </c>
    </row>
    <row r="176" spans="1:6" x14ac:dyDescent="0.25">
      <c r="A176" t="s">
        <v>74</v>
      </c>
      <c r="B176" s="14">
        <v>46109</v>
      </c>
      <c r="C176" t="s">
        <v>104</v>
      </c>
      <c r="E176" s="13">
        <f t="shared" si="4"/>
        <v>13</v>
      </c>
      <c r="F176" s="13" t="str">
        <f t="shared" si="5"/>
        <v>março</v>
      </c>
    </row>
    <row r="177" spans="1:6" x14ac:dyDescent="0.25">
      <c r="A177" t="s">
        <v>73</v>
      </c>
      <c r="B177" s="14">
        <v>46109</v>
      </c>
      <c r="C177" t="s">
        <v>102</v>
      </c>
      <c r="D177" t="s">
        <v>106</v>
      </c>
      <c r="E177" s="13">
        <f t="shared" si="4"/>
        <v>13</v>
      </c>
      <c r="F177" s="13" t="str">
        <f t="shared" si="5"/>
        <v>março</v>
      </c>
    </row>
    <row r="178" spans="1:6" x14ac:dyDescent="0.25">
      <c r="A178" t="s">
        <v>75</v>
      </c>
      <c r="B178" s="14">
        <v>46110</v>
      </c>
      <c r="C178" t="s">
        <v>105</v>
      </c>
      <c r="E178" s="13">
        <f t="shared" si="4"/>
        <v>14</v>
      </c>
      <c r="F178" s="13" t="str">
        <f t="shared" si="5"/>
        <v>março</v>
      </c>
    </row>
    <row r="179" spans="1:6" x14ac:dyDescent="0.25">
      <c r="A179" t="s">
        <v>74</v>
      </c>
      <c r="B179" s="14">
        <v>46110</v>
      </c>
      <c r="C179" t="s">
        <v>105</v>
      </c>
      <c r="E179" s="13">
        <f t="shared" si="4"/>
        <v>14</v>
      </c>
      <c r="F179" s="13" t="str">
        <f t="shared" si="5"/>
        <v>março</v>
      </c>
    </row>
    <row r="180" spans="1:6" x14ac:dyDescent="0.25">
      <c r="A180" t="s">
        <v>74</v>
      </c>
      <c r="B180" s="14">
        <v>46111</v>
      </c>
      <c r="C180" t="s">
        <v>105</v>
      </c>
      <c r="E180" s="13">
        <f t="shared" si="4"/>
        <v>14</v>
      </c>
      <c r="F180" s="13" t="str">
        <f t="shared" si="5"/>
        <v>março</v>
      </c>
    </row>
    <row r="181" spans="1:6" x14ac:dyDescent="0.25">
      <c r="A181" t="s">
        <v>74</v>
      </c>
      <c r="B181" s="14">
        <v>46111</v>
      </c>
      <c r="C181" t="s">
        <v>104</v>
      </c>
      <c r="E181" s="13">
        <f t="shared" si="4"/>
        <v>14</v>
      </c>
      <c r="F181" s="13" t="str">
        <f t="shared" si="5"/>
        <v>março</v>
      </c>
    </row>
    <row r="182" spans="1:6" x14ac:dyDescent="0.25">
      <c r="A182" t="s">
        <v>73</v>
      </c>
      <c r="B182" s="14">
        <v>46113</v>
      </c>
      <c r="C182" t="s">
        <v>102</v>
      </c>
      <c r="D182" t="s">
        <v>106</v>
      </c>
      <c r="E182" s="13">
        <f t="shared" si="4"/>
        <v>14</v>
      </c>
      <c r="F182" s="13" t="str">
        <f t="shared" si="5"/>
        <v>abril</v>
      </c>
    </row>
    <row r="183" spans="1:6" x14ac:dyDescent="0.25">
      <c r="A183" t="s">
        <v>240</v>
      </c>
      <c r="B183" s="14">
        <v>46113</v>
      </c>
      <c r="C183" t="s">
        <v>104</v>
      </c>
      <c r="E183" s="13">
        <f t="shared" si="4"/>
        <v>14</v>
      </c>
      <c r="F183" s="13" t="str">
        <f t="shared" si="5"/>
        <v>abril</v>
      </c>
    </row>
    <row r="184" spans="1:6" x14ac:dyDescent="0.25">
      <c r="A184" t="s">
        <v>264</v>
      </c>
      <c r="B184" s="14">
        <v>46113</v>
      </c>
      <c r="C184" t="s">
        <v>105</v>
      </c>
      <c r="E184" s="13">
        <f t="shared" si="4"/>
        <v>14</v>
      </c>
      <c r="F184" s="13" t="str">
        <f t="shared" si="5"/>
        <v>abril</v>
      </c>
    </row>
    <row r="185" spans="1:6" x14ac:dyDescent="0.25">
      <c r="A185" t="s">
        <v>74</v>
      </c>
      <c r="B185" s="14">
        <v>46113</v>
      </c>
      <c r="C185" t="s">
        <v>104</v>
      </c>
      <c r="E185" s="13">
        <f t="shared" si="4"/>
        <v>14</v>
      </c>
      <c r="F185" s="13" t="str">
        <f t="shared" si="5"/>
        <v>abril</v>
      </c>
    </row>
    <row r="186" spans="1:6" x14ac:dyDescent="0.25">
      <c r="A186" t="s">
        <v>204</v>
      </c>
      <c r="B186" s="14">
        <v>46114</v>
      </c>
      <c r="C186" t="s">
        <v>102</v>
      </c>
      <c r="D186" t="s">
        <v>103</v>
      </c>
      <c r="E186" s="13">
        <f t="shared" si="4"/>
        <v>14</v>
      </c>
      <c r="F186" s="13" t="str">
        <f t="shared" si="5"/>
        <v>abril</v>
      </c>
    </row>
    <row r="187" spans="1:6" x14ac:dyDescent="0.25">
      <c r="A187" t="s">
        <v>297</v>
      </c>
      <c r="B187" s="14">
        <v>46114</v>
      </c>
      <c r="C187" t="s">
        <v>104</v>
      </c>
      <c r="E187" s="13">
        <f t="shared" si="4"/>
        <v>14</v>
      </c>
      <c r="F187" s="13" t="str">
        <f t="shared" si="5"/>
        <v>abril</v>
      </c>
    </row>
    <row r="188" spans="1:6" x14ac:dyDescent="0.25">
      <c r="A188" t="s">
        <v>73</v>
      </c>
      <c r="B188" s="14">
        <v>46115</v>
      </c>
      <c r="C188" t="s">
        <v>102</v>
      </c>
      <c r="D188" t="s">
        <v>106</v>
      </c>
      <c r="E188" s="13">
        <f t="shared" si="4"/>
        <v>14</v>
      </c>
      <c r="F188" s="13" t="str">
        <f t="shared" si="5"/>
        <v>abril</v>
      </c>
    </row>
    <row r="189" spans="1:6" x14ac:dyDescent="0.25">
      <c r="A189" t="s">
        <v>203</v>
      </c>
      <c r="B189" s="14">
        <v>46115</v>
      </c>
      <c r="C189" t="s">
        <v>105</v>
      </c>
      <c r="E189" s="13">
        <f t="shared" si="4"/>
        <v>14</v>
      </c>
      <c r="F189" s="13" t="str">
        <f t="shared" si="5"/>
        <v>abril</v>
      </c>
    </row>
    <row r="190" spans="1:6" x14ac:dyDescent="0.25">
      <c r="A190" t="s">
        <v>74</v>
      </c>
      <c r="B190" s="14">
        <v>46115</v>
      </c>
      <c r="C190" t="s">
        <v>105</v>
      </c>
      <c r="E190" s="13">
        <f t="shared" si="4"/>
        <v>14</v>
      </c>
      <c r="F190" s="13" t="str">
        <f t="shared" si="5"/>
        <v>abril</v>
      </c>
    </row>
    <row r="191" spans="1:6" x14ac:dyDescent="0.25">
      <c r="A191" t="s">
        <v>74</v>
      </c>
      <c r="B191" s="14">
        <v>46116</v>
      </c>
      <c r="C191" t="s">
        <v>105</v>
      </c>
      <c r="E191" s="13">
        <f t="shared" si="4"/>
        <v>14</v>
      </c>
      <c r="F191" s="13" t="str">
        <f t="shared" si="5"/>
        <v>abril</v>
      </c>
    </row>
    <row r="192" spans="1:6" x14ac:dyDescent="0.25">
      <c r="A192" t="s">
        <v>180</v>
      </c>
      <c r="B192" s="14">
        <v>46117</v>
      </c>
      <c r="C192" t="s">
        <v>105</v>
      </c>
      <c r="E192" s="13">
        <f t="shared" si="4"/>
        <v>15</v>
      </c>
      <c r="F192" s="13" t="str">
        <f t="shared" si="5"/>
        <v>abril</v>
      </c>
    </row>
    <row r="193" spans="1:6" x14ac:dyDescent="0.25">
      <c r="A193" t="s">
        <v>74</v>
      </c>
      <c r="B193" s="14">
        <v>46117</v>
      </c>
      <c r="C193" t="s">
        <v>105</v>
      </c>
      <c r="E193" s="13">
        <f t="shared" si="4"/>
        <v>15</v>
      </c>
      <c r="F193" s="13" t="str">
        <f t="shared" si="5"/>
        <v>abril</v>
      </c>
    </row>
    <row r="194" spans="1:6" x14ac:dyDescent="0.25">
      <c r="A194" t="s">
        <v>74</v>
      </c>
      <c r="B194" s="14">
        <v>46121</v>
      </c>
      <c r="C194" t="s">
        <v>104</v>
      </c>
      <c r="E194" s="13">
        <f t="shared" si="4"/>
        <v>15</v>
      </c>
      <c r="F194" s="13" t="str">
        <f t="shared" si="5"/>
        <v>abril</v>
      </c>
    </row>
    <row r="195" spans="1:6" x14ac:dyDescent="0.25">
      <c r="A195" t="s">
        <v>73</v>
      </c>
      <c r="B195" s="14">
        <v>46121</v>
      </c>
      <c r="C195" t="s">
        <v>102</v>
      </c>
      <c r="D195" t="s">
        <v>106</v>
      </c>
      <c r="E195" s="13">
        <f t="shared" si="4"/>
        <v>15</v>
      </c>
      <c r="F195" s="13" t="str">
        <f t="shared" si="5"/>
        <v>abril</v>
      </c>
    </row>
    <row r="196" spans="1:6" x14ac:dyDescent="0.25">
      <c r="A196" t="s">
        <v>75</v>
      </c>
      <c r="B196" s="14">
        <v>46123</v>
      </c>
      <c r="C196" t="s">
        <v>105</v>
      </c>
      <c r="E196" s="13">
        <f t="shared" ref="E196:E259" si="6">IF(B196="","",WEEKNUM(B196,1))</f>
        <v>15</v>
      </c>
      <c r="F196" s="13" t="str">
        <f t="shared" ref="F196:F259" si="7">IF(B196="","",TEXT(B196,"mmmm"))</f>
        <v>abril</v>
      </c>
    </row>
    <row r="197" spans="1:6" x14ac:dyDescent="0.25">
      <c r="A197" t="s">
        <v>233</v>
      </c>
      <c r="B197" s="14">
        <v>46123</v>
      </c>
      <c r="C197" t="s">
        <v>104</v>
      </c>
      <c r="E197" s="13">
        <f t="shared" si="6"/>
        <v>15</v>
      </c>
      <c r="F197" s="13" t="str">
        <f t="shared" si="7"/>
        <v>abril</v>
      </c>
    </row>
    <row r="198" spans="1:6" x14ac:dyDescent="0.25">
      <c r="A198" t="s">
        <v>183</v>
      </c>
      <c r="B198" s="14">
        <v>46124</v>
      </c>
      <c r="C198" t="s">
        <v>102</v>
      </c>
      <c r="D198" t="s">
        <v>103</v>
      </c>
      <c r="E198" s="13">
        <f t="shared" si="6"/>
        <v>16</v>
      </c>
      <c r="F198" s="13" t="str">
        <f t="shared" si="7"/>
        <v>abril</v>
      </c>
    </row>
    <row r="199" spans="1:6" x14ac:dyDescent="0.25">
      <c r="A199" t="s">
        <v>209</v>
      </c>
      <c r="B199" s="14">
        <v>46125</v>
      </c>
      <c r="C199" t="s">
        <v>105</v>
      </c>
      <c r="E199" s="13">
        <f t="shared" si="6"/>
        <v>16</v>
      </c>
      <c r="F199" s="13" t="str">
        <f t="shared" si="7"/>
        <v>abril</v>
      </c>
    </row>
    <row r="200" spans="1:6" x14ac:dyDescent="0.25">
      <c r="A200" t="s">
        <v>307</v>
      </c>
      <c r="B200" s="14">
        <v>46125</v>
      </c>
      <c r="C200" t="s">
        <v>105</v>
      </c>
      <c r="E200" s="13">
        <f t="shared" si="6"/>
        <v>16</v>
      </c>
      <c r="F200" s="13" t="str">
        <f t="shared" si="7"/>
        <v>abril</v>
      </c>
    </row>
    <row r="201" spans="1:6" x14ac:dyDescent="0.25">
      <c r="A201" t="s">
        <v>90</v>
      </c>
      <c r="B201" s="14">
        <v>46126</v>
      </c>
      <c r="C201" t="s">
        <v>104</v>
      </c>
      <c r="E201" s="13">
        <f t="shared" si="6"/>
        <v>16</v>
      </c>
      <c r="F201" s="13" t="str">
        <f t="shared" si="7"/>
        <v>abril</v>
      </c>
    </row>
    <row r="202" spans="1:6" x14ac:dyDescent="0.25">
      <c r="A202" t="s">
        <v>74</v>
      </c>
      <c r="B202" s="14">
        <v>46126</v>
      </c>
      <c r="C202" t="s">
        <v>105</v>
      </c>
      <c r="E202" s="13">
        <f t="shared" si="6"/>
        <v>16</v>
      </c>
      <c r="F202" s="13" t="str">
        <f t="shared" si="7"/>
        <v>abril</v>
      </c>
    </row>
    <row r="203" spans="1:6" x14ac:dyDescent="0.25">
      <c r="A203" t="s">
        <v>74</v>
      </c>
      <c r="B203" s="14">
        <v>46126</v>
      </c>
      <c r="C203" t="s">
        <v>104</v>
      </c>
      <c r="E203" s="13">
        <f t="shared" si="6"/>
        <v>16</v>
      </c>
      <c r="F203" s="13" t="str">
        <f t="shared" si="7"/>
        <v>abril</v>
      </c>
    </row>
    <row r="204" spans="1:6" x14ac:dyDescent="0.25">
      <c r="A204" t="s">
        <v>291</v>
      </c>
      <c r="B204" s="14">
        <v>46126</v>
      </c>
      <c r="C204" t="s">
        <v>104</v>
      </c>
      <c r="E204" s="13">
        <f t="shared" si="6"/>
        <v>16</v>
      </c>
      <c r="F204" s="13" t="str">
        <f t="shared" si="7"/>
        <v>abril</v>
      </c>
    </row>
    <row r="205" spans="1:6" x14ac:dyDescent="0.25">
      <c r="A205" t="s">
        <v>74</v>
      </c>
      <c r="B205" s="14">
        <v>46127</v>
      </c>
      <c r="C205" t="s">
        <v>105</v>
      </c>
      <c r="E205" s="13">
        <f t="shared" si="6"/>
        <v>16</v>
      </c>
      <c r="F205" s="13" t="str">
        <f t="shared" si="7"/>
        <v>abril</v>
      </c>
    </row>
    <row r="206" spans="1:6" x14ac:dyDescent="0.25">
      <c r="A206" t="s">
        <v>245</v>
      </c>
      <c r="B206" s="14">
        <v>46127</v>
      </c>
      <c r="C206" t="s">
        <v>105</v>
      </c>
      <c r="E206" s="13">
        <f t="shared" si="6"/>
        <v>16</v>
      </c>
      <c r="F206" s="13" t="str">
        <f t="shared" si="7"/>
        <v>abril</v>
      </c>
    </row>
    <row r="207" spans="1:6" x14ac:dyDescent="0.25">
      <c r="A207" t="s">
        <v>75</v>
      </c>
      <c r="B207" s="14">
        <v>46127</v>
      </c>
      <c r="C207" t="s">
        <v>105</v>
      </c>
      <c r="E207" s="13">
        <f t="shared" si="6"/>
        <v>16</v>
      </c>
      <c r="F207" s="13" t="str">
        <f t="shared" si="7"/>
        <v>abril</v>
      </c>
    </row>
    <row r="208" spans="1:6" x14ac:dyDescent="0.25">
      <c r="A208" t="s">
        <v>167</v>
      </c>
      <c r="B208" s="14">
        <v>46128</v>
      </c>
      <c r="C208" t="s">
        <v>105</v>
      </c>
      <c r="E208" s="13">
        <f t="shared" si="6"/>
        <v>16</v>
      </c>
      <c r="F208" s="13" t="str">
        <f t="shared" si="7"/>
        <v>abril</v>
      </c>
    </row>
    <row r="209" spans="1:6" x14ac:dyDescent="0.25">
      <c r="A209" t="s">
        <v>176</v>
      </c>
      <c r="B209" s="14">
        <v>46129</v>
      </c>
      <c r="C209" t="s">
        <v>102</v>
      </c>
      <c r="D209" t="s">
        <v>103</v>
      </c>
      <c r="E209" s="13">
        <f t="shared" si="6"/>
        <v>16</v>
      </c>
      <c r="F209" s="13" t="str">
        <f t="shared" si="7"/>
        <v>abril</v>
      </c>
    </row>
    <row r="210" spans="1:6" x14ac:dyDescent="0.25">
      <c r="A210" t="s">
        <v>248</v>
      </c>
      <c r="B210" s="14">
        <v>46130</v>
      </c>
      <c r="C210" t="s">
        <v>104</v>
      </c>
      <c r="E210" s="13">
        <f t="shared" si="6"/>
        <v>16</v>
      </c>
      <c r="F210" s="13" t="str">
        <f t="shared" si="7"/>
        <v>abril</v>
      </c>
    </row>
    <row r="211" spans="1:6" x14ac:dyDescent="0.25">
      <c r="A211" t="s">
        <v>74</v>
      </c>
      <c r="B211" s="14">
        <v>46131</v>
      </c>
      <c r="C211" t="s">
        <v>105</v>
      </c>
      <c r="E211" s="13">
        <f t="shared" si="6"/>
        <v>17</v>
      </c>
      <c r="F211" s="13" t="str">
        <f t="shared" si="7"/>
        <v>abril</v>
      </c>
    </row>
    <row r="212" spans="1:6" x14ac:dyDescent="0.25">
      <c r="A212" t="s">
        <v>167</v>
      </c>
      <c r="B212" s="14">
        <v>46131</v>
      </c>
      <c r="C212" t="s">
        <v>105</v>
      </c>
      <c r="E212" s="13">
        <f t="shared" si="6"/>
        <v>17</v>
      </c>
      <c r="F212" s="13" t="str">
        <f t="shared" si="7"/>
        <v>abril</v>
      </c>
    </row>
    <row r="213" spans="1:6" x14ac:dyDescent="0.25">
      <c r="A213" t="s">
        <v>168</v>
      </c>
      <c r="B213" s="14">
        <v>46132</v>
      </c>
      <c r="C213" t="s">
        <v>104</v>
      </c>
      <c r="E213" s="13">
        <f t="shared" si="6"/>
        <v>17</v>
      </c>
      <c r="F213" s="13" t="str">
        <f t="shared" si="7"/>
        <v>abril</v>
      </c>
    </row>
    <row r="214" spans="1:6" x14ac:dyDescent="0.25">
      <c r="A214" t="s">
        <v>223</v>
      </c>
      <c r="B214" s="14">
        <v>46132</v>
      </c>
      <c r="C214" t="s">
        <v>105</v>
      </c>
      <c r="E214" s="13">
        <f t="shared" si="6"/>
        <v>17</v>
      </c>
      <c r="F214" s="13" t="str">
        <f t="shared" si="7"/>
        <v>abril</v>
      </c>
    </row>
    <row r="215" spans="1:6" x14ac:dyDescent="0.25">
      <c r="A215" t="s">
        <v>285</v>
      </c>
      <c r="B215" s="14">
        <v>46132</v>
      </c>
      <c r="C215" t="s">
        <v>105</v>
      </c>
      <c r="E215" s="13">
        <f t="shared" si="6"/>
        <v>17</v>
      </c>
      <c r="F215" s="13" t="str">
        <f t="shared" si="7"/>
        <v>abril</v>
      </c>
    </row>
    <row r="216" spans="1:6" x14ac:dyDescent="0.25">
      <c r="A216" t="s">
        <v>172</v>
      </c>
      <c r="B216" s="14">
        <v>46133</v>
      </c>
      <c r="C216" t="s">
        <v>104</v>
      </c>
      <c r="E216" s="13">
        <f t="shared" si="6"/>
        <v>17</v>
      </c>
      <c r="F216" s="13" t="str">
        <f t="shared" si="7"/>
        <v>abril</v>
      </c>
    </row>
    <row r="217" spans="1:6" x14ac:dyDescent="0.25">
      <c r="A217" t="s">
        <v>284</v>
      </c>
      <c r="B217" s="14">
        <v>46133</v>
      </c>
      <c r="C217" t="s">
        <v>104</v>
      </c>
      <c r="E217" s="13">
        <f t="shared" si="6"/>
        <v>17</v>
      </c>
      <c r="F217" s="13" t="str">
        <f t="shared" si="7"/>
        <v>abril</v>
      </c>
    </row>
    <row r="218" spans="1:6" x14ac:dyDescent="0.25">
      <c r="A218" t="s">
        <v>85</v>
      </c>
      <c r="B218" s="14">
        <v>46135</v>
      </c>
      <c r="C218" t="s">
        <v>105</v>
      </c>
      <c r="E218" s="13">
        <f t="shared" si="6"/>
        <v>17</v>
      </c>
      <c r="F218" s="13" t="str">
        <f t="shared" si="7"/>
        <v>abril</v>
      </c>
    </row>
    <row r="219" spans="1:6" x14ac:dyDescent="0.25">
      <c r="A219" t="s">
        <v>197</v>
      </c>
      <c r="B219" s="14">
        <v>46135</v>
      </c>
      <c r="C219" t="s">
        <v>102</v>
      </c>
      <c r="D219" t="s">
        <v>103</v>
      </c>
      <c r="E219" s="13">
        <f t="shared" si="6"/>
        <v>17</v>
      </c>
      <c r="F219" s="13" t="str">
        <f t="shared" si="7"/>
        <v>abril</v>
      </c>
    </row>
    <row r="220" spans="1:6" x14ac:dyDescent="0.25">
      <c r="A220" t="s">
        <v>81</v>
      </c>
      <c r="B220" s="14">
        <v>46136</v>
      </c>
      <c r="C220" t="s">
        <v>102</v>
      </c>
      <c r="D220" t="s">
        <v>103</v>
      </c>
      <c r="E220" s="13">
        <f t="shared" si="6"/>
        <v>17</v>
      </c>
      <c r="F220" s="13" t="str">
        <f t="shared" si="7"/>
        <v>abril</v>
      </c>
    </row>
    <row r="221" spans="1:6" x14ac:dyDescent="0.25">
      <c r="A221" t="s">
        <v>76</v>
      </c>
      <c r="B221" s="14">
        <v>46136</v>
      </c>
      <c r="C221" t="s">
        <v>104</v>
      </c>
      <c r="E221" s="13">
        <f t="shared" si="6"/>
        <v>17</v>
      </c>
      <c r="F221" s="13" t="str">
        <f t="shared" si="7"/>
        <v>abril</v>
      </c>
    </row>
    <row r="222" spans="1:6" x14ac:dyDescent="0.25">
      <c r="A222" t="s">
        <v>75</v>
      </c>
      <c r="B222" s="14">
        <v>46136</v>
      </c>
      <c r="C222" t="s">
        <v>105</v>
      </c>
      <c r="E222" s="13">
        <f t="shared" si="6"/>
        <v>17</v>
      </c>
      <c r="F222" s="13" t="str">
        <f t="shared" si="7"/>
        <v>abril</v>
      </c>
    </row>
    <row r="223" spans="1:6" x14ac:dyDescent="0.25">
      <c r="A223" t="s">
        <v>306</v>
      </c>
      <c r="B223" s="14">
        <v>46136</v>
      </c>
      <c r="C223" t="s">
        <v>105</v>
      </c>
      <c r="E223" s="13">
        <f t="shared" si="6"/>
        <v>17</v>
      </c>
      <c r="F223" s="13" t="str">
        <f t="shared" si="7"/>
        <v>abril</v>
      </c>
    </row>
    <row r="224" spans="1:6" x14ac:dyDescent="0.25">
      <c r="A224" t="s">
        <v>254</v>
      </c>
      <c r="B224" s="14">
        <v>46137</v>
      </c>
      <c r="C224" t="s">
        <v>104</v>
      </c>
      <c r="E224" s="13">
        <f t="shared" si="6"/>
        <v>17</v>
      </c>
      <c r="F224" s="13" t="str">
        <f t="shared" si="7"/>
        <v>abril</v>
      </c>
    </row>
    <row r="225" spans="1:6" x14ac:dyDescent="0.25">
      <c r="A225" t="s">
        <v>274</v>
      </c>
      <c r="B225" s="14">
        <v>46137</v>
      </c>
      <c r="C225" t="s">
        <v>102</v>
      </c>
      <c r="D225" t="s">
        <v>103</v>
      </c>
      <c r="E225" s="13">
        <f t="shared" si="6"/>
        <v>17</v>
      </c>
      <c r="F225" s="13" t="str">
        <f t="shared" si="7"/>
        <v>abril</v>
      </c>
    </row>
    <row r="226" spans="1:6" x14ac:dyDescent="0.25">
      <c r="A226" t="s">
        <v>74</v>
      </c>
      <c r="B226" s="14">
        <v>46139</v>
      </c>
      <c r="C226" t="s">
        <v>105</v>
      </c>
      <c r="E226" s="13">
        <f t="shared" si="6"/>
        <v>18</v>
      </c>
      <c r="F226" s="13" t="str">
        <f t="shared" si="7"/>
        <v>abril</v>
      </c>
    </row>
    <row r="227" spans="1:6" x14ac:dyDescent="0.25">
      <c r="A227" t="s">
        <v>74</v>
      </c>
      <c r="B227" s="14">
        <v>46139</v>
      </c>
      <c r="C227" t="s">
        <v>105</v>
      </c>
      <c r="E227" s="13">
        <f t="shared" si="6"/>
        <v>18</v>
      </c>
      <c r="F227" s="13" t="str">
        <f t="shared" si="7"/>
        <v>abril</v>
      </c>
    </row>
    <row r="228" spans="1:6" x14ac:dyDescent="0.25">
      <c r="A228" t="s">
        <v>74</v>
      </c>
      <c r="B228" s="14">
        <v>46140</v>
      </c>
      <c r="C228" t="s">
        <v>105</v>
      </c>
      <c r="E228" s="13">
        <f t="shared" si="6"/>
        <v>18</v>
      </c>
      <c r="F228" s="13" t="str">
        <f t="shared" si="7"/>
        <v>abril</v>
      </c>
    </row>
    <row r="229" spans="1:6" x14ac:dyDescent="0.25">
      <c r="A229" t="s">
        <v>247</v>
      </c>
      <c r="B229" s="14">
        <v>46140</v>
      </c>
      <c r="C229" t="s">
        <v>104</v>
      </c>
      <c r="E229" s="13">
        <f t="shared" si="6"/>
        <v>18</v>
      </c>
      <c r="F229" s="13" t="str">
        <f t="shared" si="7"/>
        <v>abril</v>
      </c>
    </row>
    <row r="230" spans="1:6" x14ac:dyDescent="0.25">
      <c r="A230" t="s">
        <v>275</v>
      </c>
      <c r="B230" s="14">
        <v>46140</v>
      </c>
      <c r="C230" t="s">
        <v>104</v>
      </c>
      <c r="E230" s="13">
        <f t="shared" si="6"/>
        <v>18</v>
      </c>
      <c r="F230" s="13" t="str">
        <f t="shared" si="7"/>
        <v>abril</v>
      </c>
    </row>
    <row r="231" spans="1:6" x14ac:dyDescent="0.25">
      <c r="A231" t="s">
        <v>290</v>
      </c>
      <c r="B231" s="14">
        <v>46140</v>
      </c>
      <c r="C231" t="s">
        <v>104</v>
      </c>
      <c r="E231" s="13">
        <f t="shared" si="6"/>
        <v>18</v>
      </c>
      <c r="F231" s="13" t="str">
        <f t="shared" si="7"/>
        <v>abril</v>
      </c>
    </row>
    <row r="232" spans="1:6" x14ac:dyDescent="0.25">
      <c r="A232" t="s">
        <v>74</v>
      </c>
      <c r="B232" s="14">
        <v>46140</v>
      </c>
      <c r="C232" t="s">
        <v>105</v>
      </c>
      <c r="E232" s="13">
        <f t="shared" si="6"/>
        <v>18</v>
      </c>
      <c r="F232" s="13" t="str">
        <f t="shared" si="7"/>
        <v>abril</v>
      </c>
    </row>
    <row r="233" spans="1:6" x14ac:dyDescent="0.25">
      <c r="A233" t="s">
        <v>75</v>
      </c>
      <c r="B233" s="14">
        <v>46141</v>
      </c>
      <c r="C233" t="s">
        <v>105</v>
      </c>
      <c r="E233" s="13">
        <f t="shared" si="6"/>
        <v>18</v>
      </c>
      <c r="F233" s="13" t="str">
        <f t="shared" si="7"/>
        <v>abril</v>
      </c>
    </row>
    <row r="234" spans="1:6" x14ac:dyDescent="0.25">
      <c r="A234" t="s">
        <v>74</v>
      </c>
      <c r="B234" s="14">
        <v>46142</v>
      </c>
      <c r="C234" t="s">
        <v>104</v>
      </c>
      <c r="E234" s="13">
        <f t="shared" si="6"/>
        <v>18</v>
      </c>
      <c r="F234" s="13" t="str">
        <f t="shared" si="7"/>
        <v>abril</v>
      </c>
    </row>
    <row r="235" spans="1:6" x14ac:dyDescent="0.25">
      <c r="A235" t="s">
        <v>75</v>
      </c>
      <c r="B235" s="14">
        <v>46142</v>
      </c>
      <c r="C235" t="s">
        <v>105</v>
      </c>
      <c r="E235" s="13">
        <f t="shared" si="6"/>
        <v>18</v>
      </c>
      <c r="F235" s="13" t="str">
        <f t="shared" si="7"/>
        <v>abril</v>
      </c>
    </row>
    <row r="236" spans="1:6" x14ac:dyDescent="0.25">
      <c r="A236" t="s">
        <v>191</v>
      </c>
      <c r="B236" s="14">
        <v>46142</v>
      </c>
      <c r="C236" t="s">
        <v>104</v>
      </c>
      <c r="E236" s="13">
        <f t="shared" si="6"/>
        <v>18</v>
      </c>
      <c r="F236" s="13" t="str">
        <f t="shared" si="7"/>
        <v>abril</v>
      </c>
    </row>
    <row r="237" spans="1:6" x14ac:dyDescent="0.25">
      <c r="A237" t="s">
        <v>75</v>
      </c>
      <c r="B237" s="14">
        <v>46142</v>
      </c>
      <c r="C237" t="s">
        <v>105</v>
      </c>
      <c r="E237" s="13">
        <f t="shared" si="6"/>
        <v>18</v>
      </c>
      <c r="F237" s="13" t="str">
        <f t="shared" si="7"/>
        <v>abril</v>
      </c>
    </row>
    <row r="238" spans="1:6" x14ac:dyDescent="0.25">
      <c r="A238" t="s">
        <v>267</v>
      </c>
      <c r="B238" s="14">
        <v>46142</v>
      </c>
      <c r="C238" t="s">
        <v>102</v>
      </c>
      <c r="D238" t="s">
        <v>103</v>
      </c>
      <c r="E238" s="13">
        <f t="shared" si="6"/>
        <v>18</v>
      </c>
      <c r="F238" s="13" t="str">
        <f t="shared" si="7"/>
        <v>abril</v>
      </c>
    </row>
    <row r="239" spans="1:6" x14ac:dyDescent="0.25">
      <c r="A239" t="s">
        <v>75</v>
      </c>
      <c r="B239" s="14">
        <v>46142</v>
      </c>
      <c r="C239" t="s">
        <v>105</v>
      </c>
      <c r="E239" s="13">
        <f t="shared" si="6"/>
        <v>18</v>
      </c>
      <c r="F239" s="13" t="str">
        <f t="shared" si="7"/>
        <v>abril</v>
      </c>
    </row>
    <row r="240" spans="1:6" x14ac:dyDescent="0.25">
      <c r="A240" t="s">
        <v>308</v>
      </c>
      <c r="B240" s="14">
        <v>46142</v>
      </c>
      <c r="C240" t="s">
        <v>105</v>
      </c>
      <c r="E240" s="13">
        <f t="shared" si="6"/>
        <v>18</v>
      </c>
      <c r="F240" s="13" t="str">
        <f t="shared" si="7"/>
        <v>abril</v>
      </c>
    </row>
    <row r="241" spans="1:6" x14ac:dyDescent="0.25">
      <c r="A241" t="s">
        <v>80</v>
      </c>
      <c r="B241" s="14">
        <v>46143</v>
      </c>
      <c r="C241" t="s">
        <v>105</v>
      </c>
      <c r="E241" s="13">
        <f t="shared" si="6"/>
        <v>18</v>
      </c>
      <c r="F241" s="13" t="str">
        <f t="shared" si="7"/>
        <v>maio</v>
      </c>
    </row>
    <row r="242" spans="1:6" x14ac:dyDescent="0.25">
      <c r="A242" t="s">
        <v>201</v>
      </c>
      <c r="B242" s="14">
        <v>46143</v>
      </c>
      <c r="C242" t="s">
        <v>105</v>
      </c>
      <c r="E242" s="13">
        <f t="shared" si="6"/>
        <v>18</v>
      </c>
      <c r="F242" s="13" t="str">
        <f t="shared" si="7"/>
        <v>maio</v>
      </c>
    </row>
    <row r="243" spans="1:6" x14ac:dyDescent="0.25">
      <c r="A243" t="s">
        <v>261</v>
      </c>
      <c r="B243" s="14">
        <v>46143</v>
      </c>
      <c r="C243" t="s">
        <v>104</v>
      </c>
      <c r="E243" s="13">
        <f t="shared" si="6"/>
        <v>18</v>
      </c>
      <c r="F243" s="13" t="str">
        <f t="shared" si="7"/>
        <v>maio</v>
      </c>
    </row>
    <row r="244" spans="1:6" x14ac:dyDescent="0.25">
      <c r="A244" t="s">
        <v>76</v>
      </c>
      <c r="B244" s="14">
        <v>46143</v>
      </c>
      <c r="C244" t="s">
        <v>104</v>
      </c>
      <c r="E244" s="13">
        <f t="shared" si="6"/>
        <v>18</v>
      </c>
      <c r="F244" s="13" t="str">
        <f t="shared" si="7"/>
        <v>maio</v>
      </c>
    </row>
    <row r="245" spans="1:6" x14ac:dyDescent="0.25">
      <c r="A245" t="s">
        <v>76</v>
      </c>
      <c r="B245" s="14">
        <v>46144</v>
      </c>
      <c r="C245" t="s">
        <v>104</v>
      </c>
      <c r="E245" s="13">
        <f t="shared" si="6"/>
        <v>18</v>
      </c>
      <c r="F245" s="13" t="str">
        <f t="shared" si="7"/>
        <v>maio</v>
      </c>
    </row>
    <row r="246" spans="1:6" x14ac:dyDescent="0.25">
      <c r="A246" t="s">
        <v>85</v>
      </c>
      <c r="B246" s="14">
        <v>46144</v>
      </c>
      <c r="C246" t="s">
        <v>105</v>
      </c>
      <c r="E246" s="13">
        <f t="shared" si="6"/>
        <v>18</v>
      </c>
      <c r="F246" s="13" t="str">
        <f t="shared" si="7"/>
        <v>maio</v>
      </c>
    </row>
    <row r="247" spans="1:6" x14ac:dyDescent="0.25">
      <c r="A247" t="s">
        <v>192</v>
      </c>
      <c r="B247" s="14">
        <v>46145</v>
      </c>
      <c r="C247" t="s">
        <v>104</v>
      </c>
      <c r="E247" s="13">
        <f t="shared" si="6"/>
        <v>19</v>
      </c>
      <c r="F247" s="13" t="str">
        <f t="shared" si="7"/>
        <v>maio</v>
      </c>
    </row>
    <row r="248" spans="1:6" x14ac:dyDescent="0.25">
      <c r="A248" t="s">
        <v>219</v>
      </c>
      <c r="B248" s="14">
        <v>46145</v>
      </c>
      <c r="C248" t="s">
        <v>104</v>
      </c>
      <c r="E248" s="13">
        <f t="shared" si="6"/>
        <v>19</v>
      </c>
      <c r="F248" s="13" t="str">
        <f t="shared" si="7"/>
        <v>maio</v>
      </c>
    </row>
    <row r="249" spans="1:6" x14ac:dyDescent="0.25">
      <c r="A249" t="s">
        <v>234</v>
      </c>
      <c r="B249" s="14">
        <v>46145</v>
      </c>
      <c r="C249" t="s">
        <v>104</v>
      </c>
      <c r="E249" s="13">
        <f t="shared" si="6"/>
        <v>19</v>
      </c>
      <c r="F249" s="13" t="str">
        <f t="shared" si="7"/>
        <v>maio</v>
      </c>
    </row>
    <row r="250" spans="1:6" x14ac:dyDescent="0.25">
      <c r="A250" t="s">
        <v>73</v>
      </c>
      <c r="B250" s="14">
        <v>46145</v>
      </c>
      <c r="C250" t="s">
        <v>102</v>
      </c>
      <c r="D250" t="s">
        <v>106</v>
      </c>
      <c r="E250" s="13">
        <f t="shared" si="6"/>
        <v>19</v>
      </c>
      <c r="F250" s="13" t="str">
        <f t="shared" si="7"/>
        <v>maio</v>
      </c>
    </row>
    <row r="251" spans="1:6" x14ac:dyDescent="0.25">
      <c r="A251" t="s">
        <v>84</v>
      </c>
      <c r="B251" s="14">
        <v>46146</v>
      </c>
      <c r="C251" t="s">
        <v>102</v>
      </c>
      <c r="D251" t="s">
        <v>103</v>
      </c>
      <c r="E251" s="13">
        <f t="shared" si="6"/>
        <v>19</v>
      </c>
      <c r="F251" s="13" t="str">
        <f t="shared" si="7"/>
        <v>maio</v>
      </c>
    </row>
    <row r="252" spans="1:6" x14ac:dyDescent="0.25">
      <c r="A252" t="s">
        <v>73</v>
      </c>
      <c r="B252" s="14">
        <v>46146</v>
      </c>
      <c r="C252" t="s">
        <v>102</v>
      </c>
      <c r="D252" t="s">
        <v>106</v>
      </c>
      <c r="E252" s="13">
        <f t="shared" si="6"/>
        <v>19</v>
      </c>
      <c r="F252" s="13" t="str">
        <f t="shared" si="7"/>
        <v>maio</v>
      </c>
    </row>
    <row r="253" spans="1:6" x14ac:dyDescent="0.25">
      <c r="A253" t="s">
        <v>75</v>
      </c>
      <c r="B253" s="14">
        <v>46146</v>
      </c>
      <c r="C253" t="s">
        <v>105</v>
      </c>
      <c r="E253" s="13">
        <f t="shared" si="6"/>
        <v>19</v>
      </c>
      <c r="F253" s="13" t="str">
        <f t="shared" si="7"/>
        <v>maio</v>
      </c>
    </row>
    <row r="254" spans="1:6" x14ac:dyDescent="0.25">
      <c r="A254" t="s">
        <v>73</v>
      </c>
      <c r="B254" s="14">
        <v>46147</v>
      </c>
      <c r="C254" t="s">
        <v>102</v>
      </c>
      <c r="D254" t="s">
        <v>106</v>
      </c>
      <c r="E254" s="13">
        <f t="shared" si="6"/>
        <v>19</v>
      </c>
      <c r="F254" s="13" t="str">
        <f t="shared" si="7"/>
        <v>maio</v>
      </c>
    </row>
    <row r="255" spans="1:6" x14ac:dyDescent="0.25">
      <c r="A255" t="s">
        <v>238</v>
      </c>
      <c r="B255" s="14">
        <v>46147</v>
      </c>
      <c r="C255" t="s">
        <v>105</v>
      </c>
      <c r="E255" s="13">
        <f t="shared" si="6"/>
        <v>19</v>
      </c>
      <c r="F255" s="13" t="str">
        <f t="shared" si="7"/>
        <v>maio</v>
      </c>
    </row>
    <row r="256" spans="1:6" x14ac:dyDescent="0.25">
      <c r="A256" t="s">
        <v>279</v>
      </c>
      <c r="B256" s="14">
        <v>46147</v>
      </c>
      <c r="C256" t="s">
        <v>105</v>
      </c>
      <c r="E256" s="13">
        <f t="shared" si="6"/>
        <v>19</v>
      </c>
      <c r="F256" s="13" t="str">
        <f t="shared" si="7"/>
        <v>maio</v>
      </c>
    </row>
    <row r="257" spans="1:6" x14ac:dyDescent="0.25">
      <c r="A257" t="s">
        <v>75</v>
      </c>
      <c r="B257" s="14">
        <v>46147</v>
      </c>
      <c r="C257" t="s">
        <v>105</v>
      </c>
      <c r="E257" s="13">
        <f t="shared" si="6"/>
        <v>19</v>
      </c>
      <c r="F257" s="13" t="str">
        <f t="shared" si="7"/>
        <v>maio</v>
      </c>
    </row>
    <row r="258" spans="1:6" x14ac:dyDescent="0.25">
      <c r="A258" t="s">
        <v>75</v>
      </c>
      <c r="B258" s="14">
        <v>46148</v>
      </c>
      <c r="C258" t="s">
        <v>105</v>
      </c>
      <c r="E258" s="13">
        <f t="shared" si="6"/>
        <v>19</v>
      </c>
      <c r="F258" s="13" t="str">
        <f t="shared" si="7"/>
        <v>maio</v>
      </c>
    </row>
    <row r="259" spans="1:6" x14ac:dyDescent="0.25">
      <c r="A259" t="s">
        <v>74</v>
      </c>
      <c r="B259" s="14">
        <v>46148</v>
      </c>
      <c r="C259" t="s">
        <v>104</v>
      </c>
      <c r="E259" s="13">
        <f t="shared" si="6"/>
        <v>19</v>
      </c>
      <c r="F259" s="13" t="str">
        <f t="shared" si="7"/>
        <v>maio</v>
      </c>
    </row>
    <row r="260" spans="1:6" x14ac:dyDescent="0.25">
      <c r="A260" t="s">
        <v>185</v>
      </c>
      <c r="B260" s="14">
        <v>46149</v>
      </c>
      <c r="C260" t="s">
        <v>104</v>
      </c>
      <c r="E260" s="13">
        <f t="shared" ref="E260:E299" si="8">IF(B260="","",WEEKNUM(B260,1))</f>
        <v>19</v>
      </c>
      <c r="F260" s="13" t="str">
        <f t="shared" ref="F260:F299" si="9">IF(B260="","",TEXT(B260,"mmmm"))</f>
        <v>maio</v>
      </c>
    </row>
    <row r="261" spans="1:6" x14ac:dyDescent="0.25">
      <c r="A261" t="s">
        <v>218</v>
      </c>
      <c r="B261" s="14">
        <v>46150</v>
      </c>
      <c r="C261" t="s">
        <v>102</v>
      </c>
      <c r="D261" t="s">
        <v>103</v>
      </c>
      <c r="E261" s="13">
        <f t="shared" si="8"/>
        <v>19</v>
      </c>
      <c r="F261" s="13" t="str">
        <f t="shared" si="9"/>
        <v>maio</v>
      </c>
    </row>
    <row r="262" spans="1:6" x14ac:dyDescent="0.25">
      <c r="A262" t="s">
        <v>241</v>
      </c>
      <c r="B262" s="14">
        <v>46152</v>
      </c>
      <c r="C262" t="s">
        <v>104</v>
      </c>
      <c r="E262" s="13">
        <f t="shared" si="8"/>
        <v>20</v>
      </c>
      <c r="F262" s="13" t="str">
        <f t="shared" si="9"/>
        <v>maio</v>
      </c>
    </row>
    <row r="263" spans="1:6" x14ac:dyDescent="0.25">
      <c r="A263" t="s">
        <v>82</v>
      </c>
      <c r="B263" s="14">
        <v>46152</v>
      </c>
      <c r="C263" t="s">
        <v>102</v>
      </c>
      <c r="D263" t="s">
        <v>103</v>
      </c>
      <c r="E263" s="13">
        <f t="shared" si="8"/>
        <v>20</v>
      </c>
      <c r="F263" s="13" t="str">
        <f t="shared" si="9"/>
        <v>maio</v>
      </c>
    </row>
    <row r="264" spans="1:6" x14ac:dyDescent="0.25">
      <c r="A264" t="s">
        <v>75</v>
      </c>
      <c r="B264" s="14">
        <v>46154</v>
      </c>
      <c r="C264" t="s">
        <v>105</v>
      </c>
      <c r="E264" s="13">
        <f t="shared" si="8"/>
        <v>20</v>
      </c>
      <c r="F264" s="13" t="str">
        <f t="shared" si="9"/>
        <v>maio</v>
      </c>
    </row>
    <row r="265" spans="1:6" x14ac:dyDescent="0.25">
      <c r="A265" t="s">
        <v>73</v>
      </c>
      <c r="B265" s="14">
        <v>46154</v>
      </c>
      <c r="C265" t="s">
        <v>102</v>
      </c>
      <c r="D265" t="s">
        <v>106</v>
      </c>
      <c r="E265" s="13">
        <f t="shared" si="8"/>
        <v>20</v>
      </c>
      <c r="F265" s="13" t="str">
        <f t="shared" si="9"/>
        <v>maio</v>
      </c>
    </row>
    <row r="266" spans="1:6" x14ac:dyDescent="0.25">
      <c r="A266" t="s">
        <v>227</v>
      </c>
      <c r="B266" s="14">
        <v>46154</v>
      </c>
      <c r="C266" t="s">
        <v>104</v>
      </c>
      <c r="E266" s="13">
        <f t="shared" si="8"/>
        <v>20</v>
      </c>
      <c r="F266" s="13" t="str">
        <f t="shared" si="9"/>
        <v>maio</v>
      </c>
    </row>
    <row r="267" spans="1:6" x14ac:dyDescent="0.25">
      <c r="A267" t="s">
        <v>76</v>
      </c>
      <c r="B267" s="14">
        <v>46154</v>
      </c>
      <c r="C267" t="s">
        <v>104</v>
      </c>
      <c r="E267" s="13">
        <f t="shared" si="8"/>
        <v>20</v>
      </c>
      <c r="F267" s="13" t="str">
        <f t="shared" si="9"/>
        <v>maio</v>
      </c>
    </row>
    <row r="268" spans="1:6" x14ac:dyDescent="0.25">
      <c r="A268" t="s">
        <v>178</v>
      </c>
      <c r="B268" s="14">
        <v>46156</v>
      </c>
      <c r="C268" t="s">
        <v>104</v>
      </c>
      <c r="E268" s="13">
        <f t="shared" si="8"/>
        <v>20</v>
      </c>
      <c r="F268" s="13" t="str">
        <f t="shared" si="9"/>
        <v>maio</v>
      </c>
    </row>
    <row r="269" spans="1:6" x14ac:dyDescent="0.25">
      <c r="A269" t="s">
        <v>286</v>
      </c>
      <c r="B269" s="14">
        <v>46156</v>
      </c>
      <c r="C269" t="s">
        <v>105</v>
      </c>
      <c r="E269" s="13">
        <f t="shared" si="8"/>
        <v>20</v>
      </c>
      <c r="F269" s="13" t="str">
        <f t="shared" si="9"/>
        <v>maio</v>
      </c>
    </row>
    <row r="270" spans="1:6" x14ac:dyDescent="0.25">
      <c r="A270" t="s">
        <v>166</v>
      </c>
      <c r="B270" s="14">
        <v>46157</v>
      </c>
      <c r="C270" t="s">
        <v>104</v>
      </c>
      <c r="E270" s="13">
        <f t="shared" si="8"/>
        <v>20</v>
      </c>
      <c r="F270" s="13" t="str">
        <f t="shared" si="9"/>
        <v>maio</v>
      </c>
    </row>
    <row r="271" spans="1:6" x14ac:dyDescent="0.25">
      <c r="A271" t="s">
        <v>230</v>
      </c>
      <c r="B271" s="14">
        <v>46157</v>
      </c>
      <c r="C271" t="s">
        <v>105</v>
      </c>
      <c r="E271" s="13">
        <f t="shared" si="8"/>
        <v>20</v>
      </c>
      <c r="F271" s="13" t="str">
        <f t="shared" si="9"/>
        <v>maio</v>
      </c>
    </row>
    <row r="272" spans="1:6" x14ac:dyDescent="0.25">
      <c r="A272" t="s">
        <v>86</v>
      </c>
      <c r="B272" s="14">
        <v>46159</v>
      </c>
      <c r="C272" t="s">
        <v>105</v>
      </c>
      <c r="E272" s="13">
        <f t="shared" si="8"/>
        <v>21</v>
      </c>
      <c r="F272" s="13" t="str">
        <f t="shared" si="9"/>
        <v>maio</v>
      </c>
    </row>
    <row r="273" spans="1:6" x14ac:dyDescent="0.25">
      <c r="A273" t="s">
        <v>193</v>
      </c>
      <c r="B273" s="14">
        <v>46159</v>
      </c>
      <c r="C273" t="s">
        <v>104</v>
      </c>
      <c r="E273" s="13">
        <f t="shared" si="8"/>
        <v>21</v>
      </c>
      <c r="F273" s="13" t="str">
        <f t="shared" si="9"/>
        <v>maio</v>
      </c>
    </row>
    <row r="274" spans="1:6" x14ac:dyDescent="0.25">
      <c r="A274" t="s">
        <v>256</v>
      </c>
      <c r="B274" s="14">
        <v>46159</v>
      </c>
      <c r="C274" t="s">
        <v>104</v>
      </c>
      <c r="E274" s="13">
        <f t="shared" si="8"/>
        <v>21</v>
      </c>
      <c r="F274" s="13" t="str">
        <f t="shared" si="9"/>
        <v>maio</v>
      </c>
    </row>
    <row r="275" spans="1:6" x14ac:dyDescent="0.25">
      <c r="A275" t="s">
        <v>301</v>
      </c>
      <c r="B275" s="14">
        <v>46159</v>
      </c>
      <c r="C275" t="s">
        <v>105</v>
      </c>
      <c r="E275" s="13">
        <f t="shared" si="8"/>
        <v>21</v>
      </c>
      <c r="F275" s="13" t="str">
        <f t="shared" si="9"/>
        <v>maio</v>
      </c>
    </row>
    <row r="276" spans="1:6" x14ac:dyDescent="0.25">
      <c r="A276" t="s">
        <v>302</v>
      </c>
      <c r="B276" s="14">
        <v>46159</v>
      </c>
      <c r="C276" t="s">
        <v>102</v>
      </c>
      <c r="D276" t="s">
        <v>103</v>
      </c>
      <c r="E276" s="13">
        <f t="shared" si="8"/>
        <v>21</v>
      </c>
      <c r="F276" s="13" t="str">
        <f t="shared" si="9"/>
        <v>maio</v>
      </c>
    </row>
    <row r="277" spans="1:6" x14ac:dyDescent="0.25">
      <c r="A277" t="s">
        <v>77</v>
      </c>
      <c r="B277" s="14">
        <v>46160</v>
      </c>
      <c r="C277" t="s">
        <v>104</v>
      </c>
      <c r="E277" s="13">
        <f t="shared" si="8"/>
        <v>21</v>
      </c>
      <c r="F277" s="13" t="str">
        <f t="shared" si="9"/>
        <v>maio</v>
      </c>
    </row>
    <row r="278" spans="1:6" x14ac:dyDescent="0.25">
      <c r="A278" t="s">
        <v>74</v>
      </c>
      <c r="B278" s="14">
        <v>46160</v>
      </c>
      <c r="C278" t="s">
        <v>104</v>
      </c>
      <c r="E278" s="13">
        <f t="shared" si="8"/>
        <v>21</v>
      </c>
      <c r="F278" s="13" t="str">
        <f t="shared" si="9"/>
        <v>maio</v>
      </c>
    </row>
    <row r="279" spans="1:6" x14ac:dyDescent="0.25">
      <c r="A279" t="s">
        <v>273</v>
      </c>
      <c r="B279" s="14">
        <v>46160</v>
      </c>
      <c r="C279" t="s">
        <v>105</v>
      </c>
      <c r="E279" s="13">
        <f t="shared" si="8"/>
        <v>21</v>
      </c>
      <c r="F279" s="13" t="str">
        <f t="shared" si="9"/>
        <v>maio</v>
      </c>
    </row>
    <row r="280" spans="1:6" x14ac:dyDescent="0.25">
      <c r="A280" t="s">
        <v>74</v>
      </c>
      <c r="B280" s="14">
        <v>46163</v>
      </c>
      <c r="C280" t="s">
        <v>105</v>
      </c>
      <c r="E280" s="13">
        <f t="shared" si="8"/>
        <v>21</v>
      </c>
      <c r="F280" s="13" t="str">
        <f t="shared" si="9"/>
        <v>maio</v>
      </c>
    </row>
    <row r="281" spans="1:6" x14ac:dyDescent="0.25">
      <c r="A281" t="s">
        <v>258</v>
      </c>
      <c r="B281" s="14">
        <v>46164</v>
      </c>
      <c r="C281" t="s">
        <v>105</v>
      </c>
      <c r="E281" s="13">
        <f t="shared" si="8"/>
        <v>21</v>
      </c>
      <c r="F281" s="13" t="str">
        <f t="shared" si="9"/>
        <v>maio</v>
      </c>
    </row>
    <row r="282" spans="1:6" x14ac:dyDescent="0.25">
      <c r="A282" t="s">
        <v>269</v>
      </c>
      <c r="B282" s="14">
        <v>46166</v>
      </c>
      <c r="C282" t="s">
        <v>104</v>
      </c>
      <c r="E282" s="13">
        <f t="shared" si="8"/>
        <v>22</v>
      </c>
      <c r="F282" s="13" t="str">
        <f t="shared" si="9"/>
        <v>maio</v>
      </c>
    </row>
    <row r="283" spans="1:6" x14ac:dyDescent="0.25">
      <c r="A283" t="s">
        <v>74</v>
      </c>
      <c r="B283" s="14">
        <v>46166</v>
      </c>
      <c r="C283" t="s">
        <v>105</v>
      </c>
      <c r="E283" s="13">
        <f t="shared" si="8"/>
        <v>22</v>
      </c>
      <c r="F283" s="13" t="str">
        <f t="shared" si="9"/>
        <v>maio</v>
      </c>
    </row>
    <row r="284" spans="1:6" x14ac:dyDescent="0.25">
      <c r="A284" t="s">
        <v>90</v>
      </c>
      <c r="B284" s="14">
        <v>46166</v>
      </c>
      <c r="C284" t="s">
        <v>104</v>
      </c>
      <c r="E284" s="13">
        <f t="shared" si="8"/>
        <v>22</v>
      </c>
      <c r="F284" s="13" t="str">
        <f t="shared" si="9"/>
        <v>maio</v>
      </c>
    </row>
    <row r="285" spans="1:6" x14ac:dyDescent="0.25">
      <c r="A285" t="s">
        <v>73</v>
      </c>
      <c r="B285" s="14">
        <v>46168</v>
      </c>
      <c r="C285" t="s">
        <v>105</v>
      </c>
      <c r="E285" s="13">
        <f t="shared" si="8"/>
        <v>22</v>
      </c>
      <c r="F285" s="13" t="str">
        <f t="shared" si="9"/>
        <v>maio</v>
      </c>
    </row>
    <row r="286" spans="1:6" x14ac:dyDescent="0.25">
      <c r="A286" t="s">
        <v>74</v>
      </c>
      <c r="B286" s="14">
        <v>46168</v>
      </c>
      <c r="C286" t="s">
        <v>105</v>
      </c>
      <c r="E286" s="13">
        <f t="shared" si="8"/>
        <v>22</v>
      </c>
      <c r="F286" s="13" t="str">
        <f t="shared" si="9"/>
        <v>maio</v>
      </c>
    </row>
    <row r="287" spans="1:6" x14ac:dyDescent="0.25">
      <c r="A287" t="s">
        <v>169</v>
      </c>
      <c r="B287" s="14">
        <v>46168</v>
      </c>
      <c r="C287" t="s">
        <v>104</v>
      </c>
      <c r="E287" s="13">
        <f t="shared" si="8"/>
        <v>22</v>
      </c>
      <c r="F287" s="13" t="str">
        <f t="shared" si="9"/>
        <v>maio</v>
      </c>
    </row>
    <row r="288" spans="1:6" x14ac:dyDescent="0.25">
      <c r="A288" t="s">
        <v>246</v>
      </c>
      <c r="B288" s="14">
        <v>46168</v>
      </c>
      <c r="C288" t="s">
        <v>102</v>
      </c>
      <c r="D288" t="s">
        <v>103</v>
      </c>
      <c r="E288" s="13">
        <f t="shared" si="8"/>
        <v>22</v>
      </c>
      <c r="F288" s="13" t="str">
        <f t="shared" si="9"/>
        <v>maio</v>
      </c>
    </row>
    <row r="289" spans="1:6" x14ac:dyDescent="0.25">
      <c r="A289" t="s">
        <v>259</v>
      </c>
      <c r="B289" s="14">
        <v>46168</v>
      </c>
      <c r="C289" t="s">
        <v>105</v>
      </c>
      <c r="E289" s="13">
        <f t="shared" si="8"/>
        <v>22</v>
      </c>
      <c r="F289" s="13" t="str">
        <f t="shared" si="9"/>
        <v>maio</v>
      </c>
    </row>
    <row r="290" spans="1:6" x14ac:dyDescent="0.25">
      <c r="A290" t="s">
        <v>278</v>
      </c>
      <c r="B290" s="14">
        <v>46168</v>
      </c>
      <c r="C290" t="s">
        <v>105</v>
      </c>
      <c r="E290" s="13">
        <f t="shared" si="8"/>
        <v>22</v>
      </c>
      <c r="F290" s="13" t="str">
        <f t="shared" si="9"/>
        <v>maio</v>
      </c>
    </row>
    <row r="291" spans="1:6" x14ac:dyDescent="0.25">
      <c r="A291" t="s">
        <v>260</v>
      </c>
      <c r="B291" s="14">
        <v>46169</v>
      </c>
      <c r="C291" t="s">
        <v>102</v>
      </c>
      <c r="D291" t="s">
        <v>103</v>
      </c>
      <c r="E291" s="13">
        <f t="shared" si="8"/>
        <v>22</v>
      </c>
      <c r="F291" s="13" t="str">
        <f t="shared" si="9"/>
        <v>maio</v>
      </c>
    </row>
    <row r="292" spans="1:6" x14ac:dyDescent="0.25">
      <c r="A292" t="s">
        <v>221</v>
      </c>
      <c r="B292" s="14">
        <v>46170</v>
      </c>
      <c r="C292" t="s">
        <v>104</v>
      </c>
      <c r="E292" s="13">
        <f t="shared" si="8"/>
        <v>22</v>
      </c>
      <c r="F292" s="13" t="str">
        <f t="shared" si="9"/>
        <v>maio</v>
      </c>
    </row>
    <row r="293" spans="1:6" x14ac:dyDescent="0.25">
      <c r="A293" t="s">
        <v>74</v>
      </c>
      <c r="B293" s="14">
        <v>46170</v>
      </c>
      <c r="C293" t="s">
        <v>104</v>
      </c>
      <c r="E293" s="13">
        <f t="shared" si="8"/>
        <v>22</v>
      </c>
      <c r="F293" s="13" t="str">
        <f t="shared" si="9"/>
        <v>maio</v>
      </c>
    </row>
    <row r="294" spans="1:6" x14ac:dyDescent="0.25">
      <c r="A294" t="s">
        <v>75</v>
      </c>
      <c r="B294" s="14">
        <v>46171</v>
      </c>
      <c r="C294" t="s">
        <v>105</v>
      </c>
      <c r="E294" s="13">
        <f t="shared" si="8"/>
        <v>22</v>
      </c>
      <c r="F294" s="13" t="str">
        <f t="shared" si="9"/>
        <v>maio</v>
      </c>
    </row>
    <row r="295" spans="1:6" x14ac:dyDescent="0.25">
      <c r="A295" t="s">
        <v>74</v>
      </c>
      <c r="B295" s="14">
        <v>46171</v>
      </c>
      <c r="C295" t="s">
        <v>104</v>
      </c>
      <c r="E295" s="13">
        <f t="shared" si="8"/>
        <v>22</v>
      </c>
      <c r="F295" s="13" t="str">
        <f t="shared" si="9"/>
        <v>maio</v>
      </c>
    </row>
    <row r="296" spans="1:6" x14ac:dyDescent="0.25">
      <c r="A296" t="s">
        <v>89</v>
      </c>
      <c r="B296" s="14">
        <v>46171</v>
      </c>
      <c r="C296" t="s">
        <v>104</v>
      </c>
      <c r="E296" s="13">
        <f t="shared" si="8"/>
        <v>22</v>
      </c>
      <c r="F296" s="13" t="str">
        <f t="shared" si="9"/>
        <v>maio</v>
      </c>
    </row>
    <row r="297" spans="1:6" x14ac:dyDescent="0.25">
      <c r="A297" t="s">
        <v>271</v>
      </c>
      <c r="B297" s="14">
        <v>46172</v>
      </c>
      <c r="C297" t="s">
        <v>105</v>
      </c>
      <c r="E297" s="13">
        <f t="shared" si="8"/>
        <v>22</v>
      </c>
      <c r="F297" s="13" t="str">
        <f t="shared" si="9"/>
        <v>maio</v>
      </c>
    </row>
    <row r="298" spans="1:6" x14ac:dyDescent="0.25">
      <c r="A298" t="s">
        <v>177</v>
      </c>
      <c r="B298" s="14">
        <v>46173</v>
      </c>
      <c r="C298" t="s">
        <v>104</v>
      </c>
      <c r="E298" s="13">
        <f t="shared" si="8"/>
        <v>23</v>
      </c>
      <c r="F298" s="13" t="str">
        <f t="shared" si="9"/>
        <v>maio</v>
      </c>
    </row>
    <row r="299" spans="1:6" x14ac:dyDescent="0.25">
      <c r="A299" t="s">
        <v>76</v>
      </c>
      <c r="B299" s="14">
        <v>46174</v>
      </c>
      <c r="C299" t="s">
        <v>104</v>
      </c>
      <c r="E299" s="13">
        <f t="shared" si="8"/>
        <v>23</v>
      </c>
      <c r="F299" s="13" t="str">
        <f t="shared" si="9"/>
        <v>junho</v>
      </c>
    </row>
  </sheetData>
  <mergeCells count="1">
    <mergeCell ref="A1:F1"/>
  </mergeCells>
  <phoneticPr fontId="10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showGridLines="0" workbookViewId="0">
      <selection activeCell="C26" sqref="C26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56.28515625" bestFit="1" customWidth="1"/>
    <col min="4" max="4" width="13.85546875" bestFit="1" customWidth="1"/>
    <col min="5" max="5" width="17.7109375" bestFit="1" customWidth="1"/>
    <col min="6" max="6" width="16" bestFit="1" customWidth="1"/>
    <col min="7" max="7" width="18.85546875" bestFit="1" customWidth="1"/>
    <col min="8" max="8" width="16.5703125" bestFit="1" customWidth="1"/>
    <col min="9" max="9" width="16.5703125" customWidth="1"/>
  </cols>
  <sheetData>
    <row r="1" spans="1:9" ht="17.25" customHeight="1" x14ac:dyDescent="0.25">
      <c r="A1" s="36" t="s">
        <v>107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21" t="s">
        <v>340</v>
      </c>
      <c r="B2" s="21" t="s">
        <v>108</v>
      </c>
      <c r="C2" s="21" t="s">
        <v>109</v>
      </c>
      <c r="D2" s="21" t="s">
        <v>341</v>
      </c>
      <c r="E2" s="21" t="s">
        <v>342</v>
      </c>
      <c r="F2" s="21" t="s">
        <v>97</v>
      </c>
      <c r="G2" s="21" t="s">
        <v>110</v>
      </c>
      <c r="H2" s="21" t="s">
        <v>68</v>
      </c>
      <c r="I2" s="21" t="s">
        <v>311</v>
      </c>
    </row>
    <row r="3" spans="1:9" x14ac:dyDescent="0.25">
      <c r="A3" s="11" t="s">
        <v>111</v>
      </c>
      <c r="B3" s="11" t="s">
        <v>112</v>
      </c>
      <c r="C3" s="11" t="s">
        <v>113</v>
      </c>
      <c r="D3" s="11" t="s">
        <v>4</v>
      </c>
      <c r="E3" s="11" t="s">
        <v>5</v>
      </c>
      <c r="F3" s="11" t="s">
        <v>114</v>
      </c>
      <c r="G3" s="11" t="s">
        <v>8</v>
      </c>
      <c r="H3" s="11" t="s">
        <v>7</v>
      </c>
      <c r="I3" s="11" t="s">
        <v>10</v>
      </c>
    </row>
    <row r="4" spans="1:9" x14ac:dyDescent="0.25">
      <c r="A4" s="14">
        <v>46027</v>
      </c>
      <c r="B4" s="11" t="s">
        <v>115</v>
      </c>
      <c r="C4" s="11" t="s">
        <v>116</v>
      </c>
      <c r="D4" s="14">
        <v>46152</v>
      </c>
      <c r="E4" s="14">
        <v>46152</v>
      </c>
      <c r="F4" s="13">
        <f t="shared" ref="F4:F13" si="0">IF(OR(D4="",E4=""),"",E4-D4)</f>
        <v>0</v>
      </c>
      <c r="G4" s="11" t="s">
        <v>55</v>
      </c>
      <c r="H4" s="11" t="s">
        <v>117</v>
      </c>
    </row>
    <row r="5" spans="1:9" x14ac:dyDescent="0.25">
      <c r="A5" s="14">
        <v>46063</v>
      </c>
      <c r="B5" s="11" t="s">
        <v>115</v>
      </c>
      <c r="C5" s="11" t="s">
        <v>118</v>
      </c>
      <c r="D5" s="14">
        <v>46157</v>
      </c>
      <c r="E5" s="14">
        <v>46157</v>
      </c>
      <c r="F5" s="13">
        <f t="shared" si="0"/>
        <v>0</v>
      </c>
      <c r="G5" s="11" t="s">
        <v>119</v>
      </c>
      <c r="H5" s="11" t="s">
        <v>117</v>
      </c>
    </row>
    <row r="6" spans="1:9" x14ac:dyDescent="0.25">
      <c r="A6" s="14">
        <v>46096</v>
      </c>
      <c r="B6" s="11" t="s">
        <v>120</v>
      </c>
      <c r="C6" s="11" t="s">
        <v>121</v>
      </c>
      <c r="D6" s="14">
        <v>46101</v>
      </c>
      <c r="E6" s="14">
        <v>46106</v>
      </c>
      <c r="F6" s="13">
        <f t="shared" si="0"/>
        <v>5</v>
      </c>
      <c r="G6" s="11" t="s">
        <v>122</v>
      </c>
      <c r="H6" s="11" t="s">
        <v>117</v>
      </c>
      <c r="I6" t="s">
        <v>310</v>
      </c>
    </row>
    <row r="7" spans="1:9" x14ac:dyDescent="0.25">
      <c r="A7" s="14">
        <v>46113</v>
      </c>
      <c r="B7" s="11" t="s">
        <v>115</v>
      </c>
      <c r="C7" s="11" t="s">
        <v>123</v>
      </c>
      <c r="D7" s="14">
        <v>46172</v>
      </c>
      <c r="E7" s="14">
        <v>46172</v>
      </c>
      <c r="F7" s="13">
        <f t="shared" si="0"/>
        <v>0</v>
      </c>
      <c r="G7" s="11" t="s">
        <v>124</v>
      </c>
      <c r="H7" s="11" t="s">
        <v>28</v>
      </c>
    </row>
    <row r="8" spans="1:9" x14ac:dyDescent="0.25">
      <c r="A8" s="14">
        <v>46122</v>
      </c>
      <c r="B8" s="11" t="s">
        <v>125</v>
      </c>
      <c r="C8" s="11" t="s">
        <v>126</v>
      </c>
      <c r="D8" s="14">
        <v>46178</v>
      </c>
      <c r="E8" s="14">
        <v>46178</v>
      </c>
      <c r="F8" s="13">
        <f t="shared" si="0"/>
        <v>0</v>
      </c>
      <c r="G8" s="11" t="s">
        <v>127</v>
      </c>
      <c r="H8" s="11" t="s">
        <v>28</v>
      </c>
    </row>
    <row r="9" spans="1:9" x14ac:dyDescent="0.25">
      <c r="A9" s="14">
        <v>46127</v>
      </c>
      <c r="B9" s="11" t="s">
        <v>120</v>
      </c>
      <c r="C9" s="11" t="s">
        <v>128</v>
      </c>
      <c r="D9" s="14">
        <v>46162</v>
      </c>
      <c r="E9" s="14">
        <v>46167</v>
      </c>
      <c r="F9" s="13">
        <f t="shared" si="0"/>
        <v>5</v>
      </c>
      <c r="G9" s="11" t="s">
        <v>129</v>
      </c>
      <c r="H9" s="11" t="s">
        <v>117</v>
      </c>
    </row>
    <row r="10" spans="1:9" x14ac:dyDescent="0.25">
      <c r="A10" s="14">
        <v>46132</v>
      </c>
      <c r="B10" s="11" t="s">
        <v>120</v>
      </c>
      <c r="C10" s="11" t="s">
        <v>130</v>
      </c>
      <c r="D10" s="14">
        <v>46170</v>
      </c>
      <c r="E10" s="14">
        <v>46170</v>
      </c>
      <c r="F10" s="13">
        <f t="shared" si="0"/>
        <v>0</v>
      </c>
      <c r="G10" s="11" t="s">
        <v>131</v>
      </c>
      <c r="H10" s="11" t="s">
        <v>132</v>
      </c>
    </row>
    <row r="11" spans="1:9" x14ac:dyDescent="0.25">
      <c r="A11" s="14">
        <v>46137</v>
      </c>
      <c r="B11" s="11" t="s">
        <v>120</v>
      </c>
      <c r="C11" s="11" t="s">
        <v>133</v>
      </c>
      <c r="D11" s="14">
        <v>46164</v>
      </c>
      <c r="E11" s="14">
        <v>46164</v>
      </c>
      <c r="F11" s="13">
        <f t="shared" si="0"/>
        <v>0</v>
      </c>
      <c r="G11" s="11" t="s">
        <v>134</v>
      </c>
      <c r="H11" s="11" t="s">
        <v>117</v>
      </c>
    </row>
    <row r="12" spans="1:9" x14ac:dyDescent="0.25">
      <c r="A12" s="14">
        <v>46143</v>
      </c>
      <c r="B12" s="11" t="s">
        <v>135</v>
      </c>
      <c r="C12" s="11" t="s">
        <v>136</v>
      </c>
      <c r="D12" s="14">
        <v>46188</v>
      </c>
      <c r="E12" s="14">
        <v>46188</v>
      </c>
      <c r="F12" s="13">
        <f t="shared" si="0"/>
        <v>0</v>
      </c>
      <c r="G12" s="11" t="s">
        <v>137</v>
      </c>
      <c r="H12" s="11" t="s">
        <v>28</v>
      </c>
    </row>
    <row r="13" spans="1:9" x14ac:dyDescent="0.25">
      <c r="A13" s="14">
        <v>46147</v>
      </c>
      <c r="B13" s="11" t="s">
        <v>115</v>
      </c>
      <c r="C13" s="11" t="s">
        <v>138</v>
      </c>
      <c r="D13" s="14">
        <v>46174</v>
      </c>
      <c r="E13" s="14">
        <v>46183</v>
      </c>
      <c r="F13" s="13">
        <f t="shared" si="0"/>
        <v>9</v>
      </c>
      <c r="G13" s="11" t="s">
        <v>139</v>
      </c>
      <c r="H13" s="11" t="s">
        <v>132</v>
      </c>
    </row>
  </sheetData>
  <mergeCells count="1">
    <mergeCell ref="A1:I1"/>
  </mergeCells>
  <dataValidations count="2">
    <dataValidation type="list" allowBlank="1" showInputMessage="1" showErrorMessage="1" sqref="H4:H13" xr:uid="{00000000-0002-0000-0400-000000000000}">
      <formula1>"Em Andamento, Pendente,Não Iniciado,Concluído"</formula1>
    </dataValidation>
    <dataValidation type="list" allowBlank="1" showInputMessage="1" showErrorMessage="1" sqref="I4:I13" xr:uid="{97908694-D5B7-4FDF-8CB1-9DB4460C7588}">
      <formula1>"SIM"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9"/>
  <sheetViews>
    <sheetView showGridLines="0" workbookViewId="0">
      <selection activeCell="F11" sqref="F11"/>
    </sheetView>
  </sheetViews>
  <sheetFormatPr defaultRowHeight="15" x14ac:dyDescent="0.25"/>
  <cols>
    <col min="1" max="1" width="16.28515625" bestFit="1" customWidth="1"/>
    <col min="2" max="2" width="18.140625" bestFit="1" customWidth="1"/>
    <col min="3" max="3" width="21.28515625" bestFit="1" customWidth="1"/>
    <col min="4" max="4" width="15.85546875" bestFit="1" customWidth="1"/>
    <col min="5" max="5" width="27" bestFit="1" customWidth="1"/>
    <col min="6" max="6" width="24.7109375" bestFit="1" customWidth="1"/>
    <col min="7" max="7" width="19" bestFit="1" customWidth="1"/>
    <col min="8" max="8" width="24.140625" bestFit="1" customWidth="1"/>
    <col min="9" max="9" width="26.42578125" bestFit="1" customWidth="1"/>
    <col min="10" max="10" width="20.5703125" bestFit="1" customWidth="1"/>
    <col min="11" max="11" width="21.85546875" bestFit="1" customWidth="1"/>
    <col min="12" max="12" width="22.28515625" bestFit="1" customWidth="1"/>
    <col min="13" max="13" width="21.5703125" bestFit="1" customWidth="1"/>
    <col min="14" max="14" width="24.7109375" bestFit="1" customWidth="1"/>
    <col min="15" max="15" width="24" bestFit="1" customWidth="1"/>
  </cols>
  <sheetData>
    <row r="1" spans="1:15" ht="17.25" customHeight="1" x14ac:dyDescent="0.25">
      <c r="A1" s="36" t="s">
        <v>107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37" t="s">
        <v>140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</row>
    <row r="3" spans="1:15" x14ac:dyDescent="0.25">
      <c r="A3" s="11" t="s">
        <v>113</v>
      </c>
      <c r="B3" s="11" t="s">
        <v>141</v>
      </c>
      <c r="C3" s="11" t="s">
        <v>142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147</v>
      </c>
      <c r="I3" s="11" t="s">
        <v>148</v>
      </c>
      <c r="J3" s="11" t="s">
        <v>149</v>
      </c>
      <c r="K3" s="11" t="s">
        <v>150</v>
      </c>
      <c r="L3" s="11" t="s">
        <v>151</v>
      </c>
      <c r="M3" s="11" t="s">
        <v>152</v>
      </c>
      <c r="N3" s="11" t="s">
        <v>153</v>
      </c>
      <c r="O3" s="11" t="s">
        <v>154</v>
      </c>
    </row>
    <row r="4" spans="1:15" x14ac:dyDescent="0.25">
      <c r="A4" t="s">
        <v>312</v>
      </c>
      <c r="B4" s="16">
        <v>996969.36</v>
      </c>
      <c r="C4" s="16">
        <f>Tabela5[[#This Row],[VALOR ORÇADO]]*1.1653</f>
        <v>1161768.395208</v>
      </c>
      <c r="D4" s="16">
        <v>840174.0101999999</v>
      </c>
      <c r="E4" s="16">
        <v>1797.94</v>
      </c>
      <c r="F4" s="16">
        <v>10206.669999999998</v>
      </c>
      <c r="G4" s="17">
        <f>SUM(Tabela5[[#This Row],[PAGO]:[SALDO DE CONTRATOS]])</f>
        <v>852178.62019999989</v>
      </c>
      <c r="H4" s="17">
        <f>Tabela5[[#This Row],[VALOR ORÇADO]]-Tabela5[[#This Row],[COMPROMETIDO]]</f>
        <v>144790.7398000001</v>
      </c>
      <c r="I4" s="17">
        <f>Tabela5[[#This Row],[VALOR ATUALIZADO]]-Tabela5[[#This Row],[COMPROMETIDO]]</f>
        <v>309589.77500800008</v>
      </c>
      <c r="J4" s="16">
        <v>1797.940000000177</v>
      </c>
      <c r="K4" s="17">
        <f>Tabela5[[#This Row],[PREV. FINANCEIRA]]+Tabela5[[#This Row],[PAGO]]</f>
        <v>841971.95020000008</v>
      </c>
      <c r="L4" s="17">
        <f>Tabela5[[#This Row],[VALOR ORÇADO]]-Tabela5[[#This Row],[CUSTO AO TÉRMINO]]</f>
        <v>154997.40979999991</v>
      </c>
      <c r="M4" s="18">
        <f>IFERROR(Tabela5[[#This Row],[DESVIO NOMINAL R$]]/Tabela5[[#This Row],[VALOR ORÇADO]],0)</f>
        <v>0.155468579094547</v>
      </c>
      <c r="N4" s="17">
        <f>Tabela5[[#This Row],[VALOR ATUALIZADO]]-Tabela5[[#This Row],[CUSTO AO TÉRMINO]]</f>
        <v>319796.44500799989</v>
      </c>
      <c r="O4" s="19">
        <f>IFERROR(Tabela5[[#This Row],[DESVIO CORRIGIDO R$]]/Tabela5[[#This Row],[VALOR ATUALIZADO]],0)</f>
        <v>0.27526695193902601</v>
      </c>
    </row>
    <row r="5" spans="1:15" x14ac:dyDescent="0.25">
      <c r="A5" t="s">
        <v>313</v>
      </c>
      <c r="B5" s="16">
        <v>4242080.2741839997</v>
      </c>
      <c r="C5" s="16">
        <f>Tabela5[[#This Row],[VALOR ORÇADO]]*1.1653</f>
        <v>4943296.1435066145</v>
      </c>
      <c r="D5" s="16">
        <v>4222639.8539000005</v>
      </c>
      <c r="E5" s="16">
        <v>20592.480600000003</v>
      </c>
      <c r="F5" s="16">
        <v>33963.110000000037</v>
      </c>
      <c r="G5" s="17">
        <f>SUM(Tabela5[[#This Row],[PAGO]:[SALDO DE CONTRATOS]])</f>
        <v>4277195.4445000011</v>
      </c>
      <c r="H5" s="17">
        <f>Tabela5[[#This Row],[VALOR ORÇADO]]-Tabela5[[#This Row],[COMPROMETIDO]]</f>
        <v>-35115.1703160014</v>
      </c>
      <c r="I5" s="17">
        <f>Tabela5[[#This Row],[VALOR ATUALIZADO]]-Tabela5[[#This Row],[COMPROMETIDO]]</f>
        <v>666100.69900661334</v>
      </c>
      <c r="J5" s="16">
        <v>27801.400599997491</v>
      </c>
      <c r="K5" s="17">
        <f>Tabela5[[#This Row],[PREV. FINANCEIRA]]+Tabela5[[#This Row],[PAGO]]</f>
        <v>4250441.2544999979</v>
      </c>
      <c r="L5" s="17">
        <f>Tabela5[[#This Row],[VALOR ORÇADO]]-Tabela5[[#This Row],[CUSTO AO TÉRMINO]]</f>
        <v>-8360.9803159981966</v>
      </c>
      <c r="M5" s="18">
        <f>IFERROR(Tabela5[[#This Row],[DESVIO NOMINAL R$]]/Tabela5[[#This Row],[VALOR ORÇADO]],0)</f>
        <v>-1.97096230518799E-3</v>
      </c>
      <c r="N5" s="17">
        <f>Tabela5[[#This Row],[VALOR ATUALIZADO]]-Tabela5[[#This Row],[CUSTO AO TÉRMINO]]</f>
        <v>692854.88900661655</v>
      </c>
      <c r="O5" s="19">
        <f>IFERROR(Tabela5[[#This Row],[DESVIO CORRIGIDO R$]]/Tabela5[[#This Row],[VALOR ATUALIZADO]],0)</f>
        <v>0.14016050604549207</v>
      </c>
    </row>
    <row r="6" spans="1:15" x14ac:dyDescent="0.25">
      <c r="A6" t="s">
        <v>314</v>
      </c>
      <c r="B6" s="16">
        <v>8797.51</v>
      </c>
      <c r="C6" s="16">
        <f>Tabela5[[#This Row],[VALOR ORÇADO]]*1.1653</f>
        <v>10251.738402999999</v>
      </c>
      <c r="D6" s="16">
        <v>109541.70999999999</v>
      </c>
      <c r="E6" s="16">
        <v>0</v>
      </c>
      <c r="F6" s="16">
        <v>0</v>
      </c>
      <c r="G6" s="17">
        <f>SUM(Tabela5[[#This Row],[PAGO]:[SALDO DE CONTRATOS]])</f>
        <v>109541.70999999999</v>
      </c>
      <c r="H6" s="17">
        <f>Tabela5[[#This Row],[VALOR ORÇADO]]-Tabela5[[#This Row],[COMPROMETIDO]]</f>
        <v>-100744.2</v>
      </c>
      <c r="I6" s="17">
        <f>Tabela5[[#This Row],[VALOR ATUALIZADO]]-Tabela5[[#This Row],[COMPROMETIDO]]</f>
        <v>-99289.971596999996</v>
      </c>
      <c r="J6" s="16">
        <v>0</v>
      </c>
      <c r="K6" s="17">
        <f>Tabela5[[#This Row],[PREV. FINANCEIRA]]+Tabela5[[#This Row],[PAGO]]</f>
        <v>109541.70999999999</v>
      </c>
      <c r="L6" s="17">
        <f>Tabela5[[#This Row],[VALOR ORÇADO]]-Tabela5[[#This Row],[CUSTO AO TÉRMINO]]</f>
        <v>-100744.2</v>
      </c>
      <c r="M6" s="18">
        <f>IFERROR(Tabela5[[#This Row],[DESVIO NOMINAL R$]]/Tabela5[[#This Row],[VALOR ORÇADO]],0)</f>
        <v>-11.451444783808146</v>
      </c>
      <c r="N6" s="17">
        <f>Tabela5[[#This Row],[VALOR ATUALIZADO]]-Tabela5[[#This Row],[CUSTO AO TÉRMINO]]</f>
        <v>-99289.971596999996</v>
      </c>
      <c r="O6" s="19">
        <f>IFERROR(Tabela5[[#This Row],[DESVIO CORRIGIDO R$]]/Tabela5[[#This Row],[VALOR ATUALIZADO]],0)</f>
        <v>-9.6851838872463283</v>
      </c>
    </row>
    <row r="7" spans="1:15" x14ac:dyDescent="0.25">
      <c r="A7" t="s">
        <v>315</v>
      </c>
      <c r="B7" s="16">
        <v>818060.26636400004</v>
      </c>
      <c r="C7" s="16">
        <f>Tabela5[[#This Row],[VALOR ORÇADO]]*1.1653</f>
        <v>953285.62839396927</v>
      </c>
      <c r="D7" s="16">
        <v>795606.34849999996</v>
      </c>
      <c r="E7" s="16">
        <v>234.35230000000001</v>
      </c>
      <c r="F7" s="16">
        <v>0</v>
      </c>
      <c r="G7" s="17">
        <f>SUM(Tabela5[[#This Row],[PAGO]:[SALDO DE CONTRATOS]])</f>
        <v>795840.70079999999</v>
      </c>
      <c r="H7" s="17">
        <f>Tabela5[[#This Row],[VALOR ORÇADO]]-Tabela5[[#This Row],[COMPROMETIDO]]</f>
        <v>22219.565564000048</v>
      </c>
      <c r="I7" s="17">
        <f>Tabela5[[#This Row],[VALOR ATUALIZADO]]-Tabela5[[#This Row],[COMPROMETIDO]]</f>
        <v>157444.92759396927</v>
      </c>
      <c r="J7" s="16">
        <v>234.35229999991134</v>
      </c>
      <c r="K7" s="17">
        <f>Tabela5[[#This Row],[PREV. FINANCEIRA]]+Tabela5[[#This Row],[PAGO]]</f>
        <v>795840.70079999988</v>
      </c>
      <c r="L7" s="17">
        <f>Tabela5[[#This Row],[VALOR ORÇADO]]-Tabela5[[#This Row],[CUSTO AO TÉRMINO]]</f>
        <v>22219.565564000164</v>
      </c>
      <c r="M7" s="18">
        <f>IFERROR(Tabela5[[#This Row],[DESVIO NOMINAL R$]]/Tabela5[[#This Row],[VALOR ORÇADO]],0)</f>
        <v>2.7161281971019795E-2</v>
      </c>
      <c r="N7" s="17">
        <f>Tabela5[[#This Row],[VALOR ATUALIZADO]]-Tabela5[[#This Row],[CUSTO AO TÉRMINO]]</f>
        <v>157444.92759396939</v>
      </c>
      <c r="O7" s="19">
        <f>IFERROR(Tabela5[[#This Row],[DESVIO CORRIGIDO R$]]/Tabela5[[#This Row],[VALOR ATUALIZADO]],0)</f>
        <v>0.16516028659660156</v>
      </c>
    </row>
    <row r="8" spans="1:15" x14ac:dyDescent="0.25">
      <c r="A8" t="s">
        <v>316</v>
      </c>
      <c r="B8" s="16">
        <v>3762119.7156609981</v>
      </c>
      <c r="C8" s="16">
        <f>Tabela5[[#This Row],[VALOR ORÇADO]]*1.1653</f>
        <v>4383998.1046597613</v>
      </c>
      <c r="D8" s="16">
        <v>3750061.2570999996</v>
      </c>
      <c r="E8" s="16">
        <v>3298.6815999999999</v>
      </c>
      <c r="F8" s="16">
        <v>0</v>
      </c>
      <c r="G8" s="17">
        <f>SUM(Tabela5[[#This Row],[PAGO]:[SALDO DE CONTRATOS]])</f>
        <v>3753359.9386999994</v>
      </c>
      <c r="H8" s="17">
        <f>Tabela5[[#This Row],[VALOR ORÇADO]]-Tabela5[[#This Row],[COMPROMETIDO]]</f>
        <v>8759.7769609987736</v>
      </c>
      <c r="I8" s="17">
        <f>Tabela5[[#This Row],[VALOR ATUALIZADO]]-Tabela5[[#This Row],[COMPROMETIDO]]</f>
        <v>630638.16595976194</v>
      </c>
      <c r="J8" s="16">
        <v>3298.6816000007093</v>
      </c>
      <c r="K8" s="17">
        <f>Tabela5[[#This Row],[PREV. FINANCEIRA]]+Tabela5[[#This Row],[PAGO]]</f>
        <v>3753359.9387000003</v>
      </c>
      <c r="L8" s="17">
        <f>Tabela5[[#This Row],[VALOR ORÇADO]]-Tabela5[[#This Row],[CUSTO AO TÉRMINO]]</f>
        <v>8759.7769609978423</v>
      </c>
      <c r="M8" s="18">
        <f>IFERROR(Tabela5[[#This Row],[DESVIO NOMINAL R$]]/Tabela5[[#This Row],[VALOR ORÇADO]],0)</f>
        <v>2.3284152613571906E-3</v>
      </c>
      <c r="N8" s="17">
        <f>Tabela5[[#This Row],[VALOR ATUALIZADO]]-Tabela5[[#This Row],[CUSTO AO TÉRMINO]]</f>
        <v>630638.16595976101</v>
      </c>
      <c r="O8" s="19">
        <f>IFERROR(Tabela5[[#This Row],[DESVIO CORRIGIDO R$]]/Tabela5[[#This Row],[VALOR ATUALIZADO]],0)</f>
        <v>0.14385000880576437</v>
      </c>
    </row>
    <row r="9" spans="1:15" x14ac:dyDescent="0.25">
      <c r="A9" t="s">
        <v>317</v>
      </c>
      <c r="B9" s="16">
        <v>2912748.936416999</v>
      </c>
      <c r="C9" s="16">
        <f>Tabela5[[#This Row],[VALOR ORÇADO]]*1.1653</f>
        <v>3394226.3356067287</v>
      </c>
      <c r="D9" s="16">
        <v>2946811.2328999988</v>
      </c>
      <c r="E9" s="16">
        <v>4309.2090000000007</v>
      </c>
      <c r="F9" s="16">
        <v>0</v>
      </c>
      <c r="G9" s="17">
        <f>SUM(Tabela5[[#This Row],[PAGO]:[SALDO DE CONTRATOS]])</f>
        <v>2951120.4418999986</v>
      </c>
      <c r="H9" s="17">
        <f>Tabela5[[#This Row],[VALOR ORÇADO]]-Tabela5[[#This Row],[COMPROMETIDO]]</f>
        <v>-38371.505482999608</v>
      </c>
      <c r="I9" s="17">
        <f>Tabela5[[#This Row],[VALOR ATUALIZADO]]-Tabela5[[#This Row],[COMPROMETIDO]]</f>
        <v>443105.8937067301</v>
      </c>
      <c r="J9" s="16">
        <v>4309.2090000011958</v>
      </c>
      <c r="K9" s="17">
        <f>Tabela5[[#This Row],[PREV. FINANCEIRA]]+Tabela5[[#This Row],[PAGO]]</f>
        <v>2951120.4419</v>
      </c>
      <c r="L9" s="17">
        <f>Tabela5[[#This Row],[VALOR ORÇADO]]-Tabela5[[#This Row],[CUSTO AO TÉRMINO]]</f>
        <v>-38371.505483001005</v>
      </c>
      <c r="M9" s="18">
        <f>IFERROR(Tabela5[[#This Row],[DESVIO NOMINAL R$]]/Tabela5[[#This Row],[VALOR ORÇADO]],0)</f>
        <v>-1.3173639857269048E-2</v>
      </c>
      <c r="N9" s="17">
        <f>Tabela5[[#This Row],[VALOR ATUALIZADO]]-Tabela5[[#This Row],[CUSTO AO TÉRMINO]]</f>
        <v>443105.8937067287</v>
      </c>
      <c r="O9" s="19">
        <f>IFERROR(Tabela5[[#This Row],[DESVIO CORRIGIDO R$]]/Tabela5[[#This Row],[VALOR ATUALIZADO]],0)</f>
        <v>0.13054694940593056</v>
      </c>
    </row>
    <row r="10" spans="1:15" x14ac:dyDescent="0.25">
      <c r="A10" t="s">
        <v>318</v>
      </c>
      <c r="B10" s="16">
        <v>2250321.4310000003</v>
      </c>
      <c r="C10" s="16">
        <f>Tabela5[[#This Row],[VALOR ORÇADO]]*1.1653</f>
        <v>2622299.5635443004</v>
      </c>
      <c r="D10" s="16">
        <v>2247972.2037000004</v>
      </c>
      <c r="E10" s="16">
        <v>3266.8592000000003</v>
      </c>
      <c r="F10" s="16">
        <v>5000</v>
      </c>
      <c r="G10" s="17">
        <f>SUM(Tabela5[[#This Row],[PAGO]:[SALDO DE CONTRATOS]])</f>
        <v>2256239.0629000003</v>
      </c>
      <c r="H10" s="17">
        <f>Tabela5[[#This Row],[VALOR ORÇADO]]-Tabela5[[#This Row],[COMPROMETIDO]]</f>
        <v>-5917.6318999999203</v>
      </c>
      <c r="I10" s="17">
        <f>Tabela5[[#This Row],[VALOR ATUALIZADO]]-Tabela5[[#This Row],[COMPROMETIDO]]</f>
        <v>366060.50064430013</v>
      </c>
      <c r="J10" s="16">
        <v>7260.1892000003718</v>
      </c>
      <c r="K10" s="17">
        <f>Tabela5[[#This Row],[PREV. FINANCEIRA]]+Tabela5[[#This Row],[PAGO]]</f>
        <v>2255232.3929000008</v>
      </c>
      <c r="L10" s="17">
        <f>Tabela5[[#This Row],[VALOR ORÇADO]]-Tabela5[[#This Row],[CUSTO AO TÉRMINO]]</f>
        <v>-4910.9619000004604</v>
      </c>
      <c r="M10" s="18">
        <f>IFERROR(Tabela5[[#This Row],[DESVIO NOMINAL R$]]/Tabela5[[#This Row],[VALOR ORÇADO]],0)</f>
        <v>-2.1823379684110826E-3</v>
      </c>
      <c r="N10" s="17">
        <f>Tabela5[[#This Row],[VALOR ATUALIZADO]]-Tabela5[[#This Row],[CUSTO AO TÉRMINO]]</f>
        <v>367067.17064429959</v>
      </c>
      <c r="O10" s="19">
        <f>IFERROR(Tabela5[[#This Row],[DESVIO CORRIGIDO R$]]/Tabela5[[#This Row],[VALOR ATUALIZADO]],0)</f>
        <v>0.13997911441825189</v>
      </c>
    </row>
    <row r="11" spans="1:15" x14ac:dyDescent="0.25">
      <c r="A11" t="s">
        <v>319</v>
      </c>
      <c r="B11" s="16">
        <v>1910481.9073369999</v>
      </c>
      <c r="C11" s="16">
        <f>Tabela5[[#This Row],[VALOR ORÇADO]]*1.1653</f>
        <v>2226284.566619806</v>
      </c>
      <c r="D11" s="16">
        <v>1961151.0064000003</v>
      </c>
      <c r="E11" s="16">
        <v>7107.5387999999994</v>
      </c>
      <c r="F11" s="16">
        <v>2143.3999999999924</v>
      </c>
      <c r="G11" s="17">
        <f>SUM(Tabela5[[#This Row],[PAGO]:[SALDO DE CONTRATOS]])</f>
        <v>1970401.9452000002</v>
      </c>
      <c r="H11" s="17">
        <f>Tabela5[[#This Row],[VALOR ORÇADO]]-Tabela5[[#This Row],[COMPROMETIDO]]</f>
        <v>-59920.037863000296</v>
      </c>
      <c r="I11" s="17">
        <f>Tabela5[[#This Row],[VALOR ATUALIZADO]]-Tabela5[[#This Row],[COMPROMETIDO]]</f>
        <v>255882.6214198058</v>
      </c>
      <c r="J11" s="16">
        <v>7107.5387999995146</v>
      </c>
      <c r="K11" s="17">
        <f>Tabela5[[#This Row],[PREV. FINANCEIRA]]+Tabela5[[#This Row],[PAGO]]</f>
        <v>1968258.5451999998</v>
      </c>
      <c r="L11" s="17">
        <f>Tabela5[[#This Row],[VALOR ORÇADO]]-Tabela5[[#This Row],[CUSTO AO TÉRMINO]]</f>
        <v>-57776.637862999924</v>
      </c>
      <c r="M11" s="18">
        <f>IFERROR(Tabela5[[#This Row],[DESVIO NOMINAL R$]]/Tabela5[[#This Row],[VALOR ORÇADO]],0)</f>
        <v>-3.0241918356365988E-2</v>
      </c>
      <c r="N11" s="17">
        <f>Tabela5[[#This Row],[VALOR ATUALIZADO]]-Tabela5[[#This Row],[CUSTO AO TÉRMINO]]</f>
        <v>258026.02141980617</v>
      </c>
      <c r="O11" s="19">
        <f>IFERROR(Tabela5[[#This Row],[DESVIO CORRIGIDO R$]]/Tabela5[[#This Row],[VALOR ATUALIZADO]],0)</f>
        <v>0.11589983836233933</v>
      </c>
    </row>
    <row r="12" spans="1:15" x14ac:dyDescent="0.25">
      <c r="A12" t="s">
        <v>320</v>
      </c>
      <c r="B12" s="16">
        <v>1787926.512757</v>
      </c>
      <c r="C12" s="16">
        <f>Tabela5[[#This Row],[VALOR ORÇADO]]*1.1653</f>
        <v>2083470.7653157322</v>
      </c>
      <c r="D12" s="16">
        <v>1731694.5971000004</v>
      </c>
      <c r="E12" s="16">
        <v>4455.8504000000003</v>
      </c>
      <c r="F12" s="16">
        <v>5220</v>
      </c>
      <c r="G12" s="17">
        <f>SUM(Tabela5[[#This Row],[PAGO]:[SALDO DE CONTRATOS]])</f>
        <v>1741370.4475000005</v>
      </c>
      <c r="H12" s="17">
        <f>Tabela5[[#This Row],[VALOR ORÇADO]]-Tabela5[[#This Row],[COMPROMETIDO]]</f>
        <v>46556.065256999573</v>
      </c>
      <c r="I12" s="17">
        <f>Tabela5[[#This Row],[VALOR ATUALIZADO]]-Tabela5[[#This Row],[COMPROMETIDO]]</f>
        <v>342100.31781573175</v>
      </c>
      <c r="J12" s="16">
        <v>9555.8503999991808</v>
      </c>
      <c r="K12" s="17">
        <f>Tabela5[[#This Row],[PREV. FINANCEIRA]]+Tabela5[[#This Row],[PAGO]]</f>
        <v>1741250.4474999995</v>
      </c>
      <c r="L12" s="17">
        <f>Tabela5[[#This Row],[VALOR ORÇADO]]-Tabela5[[#This Row],[CUSTO AO TÉRMINO]]</f>
        <v>46676.065257000504</v>
      </c>
      <c r="M12" s="18">
        <f>IFERROR(Tabela5[[#This Row],[DESVIO NOMINAL R$]]/Tabela5[[#This Row],[VALOR ORÇADO]],0)</f>
        <v>2.6106254884618024E-2</v>
      </c>
      <c r="N12" s="17">
        <f>Tabela5[[#This Row],[VALOR ATUALIZADO]]-Tabela5[[#This Row],[CUSTO AO TÉRMINO]]</f>
        <v>342220.31781573268</v>
      </c>
      <c r="O12" s="19">
        <f>IFERROR(Tabela5[[#This Row],[DESVIO CORRIGIDO R$]]/Tabela5[[#This Row],[VALOR ATUALIZADO]],0)</f>
        <v>0.16425491708969198</v>
      </c>
    </row>
    <row r="13" spans="1:15" x14ac:dyDescent="0.25">
      <c r="A13" t="s">
        <v>321</v>
      </c>
      <c r="B13" s="16">
        <v>570088.24</v>
      </c>
      <c r="C13" s="16">
        <f>Tabela5[[#This Row],[VALOR ORÇADO]]*1.1653</f>
        <v>664323.82607199997</v>
      </c>
      <c r="D13" s="16">
        <v>558532.36000000034</v>
      </c>
      <c r="E13" s="16">
        <v>36.869999999999997</v>
      </c>
      <c r="F13" s="16">
        <v>3317.8500000000022</v>
      </c>
      <c r="G13" s="17">
        <f>SUM(Tabela5[[#This Row],[PAGO]:[SALDO DE CONTRATOS]])</f>
        <v>561887.08000000031</v>
      </c>
      <c r="H13" s="17">
        <f>Tabela5[[#This Row],[VALOR ORÇADO]]-Tabela5[[#This Row],[COMPROMETIDO]]</f>
        <v>8201.1599999996834</v>
      </c>
      <c r="I13" s="17">
        <f>Tabela5[[#This Row],[VALOR ATUALIZADO]]-Tabela5[[#This Row],[COMPROMETIDO]]</f>
        <v>102436.74607199966</v>
      </c>
      <c r="J13" s="16">
        <v>4699.6999999997206</v>
      </c>
      <c r="K13" s="17">
        <f>Tabela5[[#This Row],[PREV. FINANCEIRA]]+Tabela5[[#This Row],[PAGO]]</f>
        <v>563232.06000000006</v>
      </c>
      <c r="L13" s="17">
        <f>Tabela5[[#This Row],[VALOR ORÇADO]]-Tabela5[[#This Row],[CUSTO AO TÉRMINO]]</f>
        <v>6856.1799999999348</v>
      </c>
      <c r="M13" s="18">
        <f>IFERROR(Tabela5[[#This Row],[DESVIO NOMINAL R$]]/Tabela5[[#This Row],[VALOR ORÇADO]],0)</f>
        <v>1.2026524174573281E-2</v>
      </c>
      <c r="N13" s="17">
        <f>Tabela5[[#This Row],[VALOR ATUALIZADO]]-Tabela5[[#This Row],[CUSTO AO TÉRMINO]]</f>
        <v>101091.76607199991</v>
      </c>
      <c r="O13" s="19">
        <f>IFERROR(Tabela5[[#This Row],[DESVIO CORRIGIDO R$]]/Tabela5[[#This Row],[VALOR ATUALIZADO]],0)</f>
        <v>0.1521724227019422</v>
      </c>
    </row>
    <row r="14" spans="1:15" x14ac:dyDescent="0.25">
      <c r="A14" t="s">
        <v>322</v>
      </c>
      <c r="B14" s="23">
        <v>149310.66844054527</v>
      </c>
      <c r="C14" s="23">
        <f>Tabela5[[#This Row],[VALOR ORÇADO]]*1.1653</f>
        <v>173991.7219337674</v>
      </c>
      <c r="D14" s="23">
        <v>129357.04050000002</v>
      </c>
      <c r="E14" s="23">
        <v>1068.7280000000001</v>
      </c>
      <c r="F14" s="23">
        <v>0</v>
      </c>
      <c r="G14" s="24">
        <f>SUM(Tabela5[[#This Row],[PAGO]:[SALDO DE CONTRATOS]])</f>
        <v>130425.76850000002</v>
      </c>
      <c r="H14" s="24">
        <f>Tabela5[[#This Row],[VALOR ORÇADO]]-Tabela5[[#This Row],[COMPROMETIDO]]</f>
        <v>18884.899940545249</v>
      </c>
      <c r="I14" s="24">
        <f>Tabela5[[#This Row],[VALOR ATUALIZADO]]-Tabela5[[#This Row],[COMPROMETIDO]]</f>
        <v>43565.953433767383</v>
      </c>
      <c r="J14" s="23">
        <v>1068.7279999999882</v>
      </c>
      <c r="K14" s="24">
        <f>Tabela5[[#This Row],[PREV. FINANCEIRA]]+Tabela5[[#This Row],[PAGO]]</f>
        <v>130425.76850000001</v>
      </c>
      <c r="L14" s="24">
        <f>Tabela5[[#This Row],[VALOR ORÇADO]]-Tabela5[[#This Row],[CUSTO AO TÉRMINO]]</f>
        <v>18884.899940545263</v>
      </c>
      <c r="M14" s="25">
        <f>IFERROR(Tabela5[[#This Row],[DESVIO NOMINAL R$]]/Tabela5[[#This Row],[VALOR ORÇADO]],0)</f>
        <v>0.12648057997319281</v>
      </c>
      <c r="N14" s="24">
        <f>Tabela5[[#This Row],[VALOR ATUALIZADO]]-Tabela5[[#This Row],[CUSTO AO TÉRMINO]]</f>
        <v>43565.953433767398</v>
      </c>
      <c r="O14" s="26">
        <f>IFERROR(Tabela5[[#This Row],[DESVIO CORRIGIDO R$]]/Tabela5[[#This Row],[VALOR ATUALIZADO]],0)</f>
        <v>0.25039095509584897</v>
      </c>
    </row>
    <row r="15" spans="1:15" x14ac:dyDescent="0.25">
      <c r="A15" t="s">
        <v>323</v>
      </c>
      <c r="B15" s="23">
        <v>393033.41252400004</v>
      </c>
      <c r="C15" s="23">
        <f>Tabela5[[#This Row],[VALOR ORÇADO]]*1.1653</f>
        <v>458001.83561421727</v>
      </c>
      <c r="D15" s="23">
        <v>291274.98100000003</v>
      </c>
      <c r="E15" s="23">
        <v>601.06420000000003</v>
      </c>
      <c r="F15" s="23">
        <v>0</v>
      </c>
      <c r="G15" s="24">
        <f>SUM(Tabela5[[#This Row],[PAGO]:[SALDO DE CONTRATOS]])</f>
        <v>291876.04520000005</v>
      </c>
      <c r="H15" s="24">
        <f>Tabela5[[#This Row],[VALOR ORÇADO]]-Tabela5[[#This Row],[COMPROMETIDO]]</f>
        <v>101157.36732399999</v>
      </c>
      <c r="I15" s="24">
        <f>Tabela5[[#This Row],[VALOR ATUALIZADO]]-Tabela5[[#This Row],[COMPROMETIDO]]</f>
        <v>166125.79041421722</v>
      </c>
      <c r="J15" s="23">
        <v>601.06420000008075</v>
      </c>
      <c r="K15" s="24">
        <f>Tabela5[[#This Row],[PREV. FINANCEIRA]]+Tabela5[[#This Row],[PAGO]]</f>
        <v>291876.04520000011</v>
      </c>
      <c r="L15" s="24">
        <f>Tabela5[[#This Row],[VALOR ORÇADO]]-Tabela5[[#This Row],[CUSTO AO TÉRMINO]]</f>
        <v>101157.36732399993</v>
      </c>
      <c r="M15" s="25">
        <f>IFERROR(Tabela5[[#This Row],[DESVIO NOMINAL R$]]/Tabela5[[#This Row],[VALOR ORÇADO]],0)</f>
        <v>0.25737599934413441</v>
      </c>
      <c r="N15" s="24">
        <f>Tabela5[[#This Row],[VALOR ATUALIZADO]]-Tabela5[[#This Row],[CUSTO AO TÉRMINO]]</f>
        <v>166125.79041421716</v>
      </c>
      <c r="O15" s="26">
        <f>IFERROR(Tabela5[[#This Row],[DESVIO CORRIGIDO R$]]/Tabela5[[#This Row],[VALOR ATUALIZADO]],0)</f>
        <v>0.36271861266981414</v>
      </c>
    </row>
    <row r="16" spans="1:15" x14ac:dyDescent="0.25">
      <c r="A16" t="s">
        <v>324</v>
      </c>
      <c r="B16" s="23">
        <v>1807049.0035919992</v>
      </c>
      <c r="C16" s="23">
        <f>Tabela5[[#This Row],[VALOR ORÇADO]]*1.1653</f>
        <v>2105754.2038857564</v>
      </c>
      <c r="D16" s="23">
        <v>1714410.4549000002</v>
      </c>
      <c r="E16" s="23">
        <v>9710.3024999999998</v>
      </c>
      <c r="F16" s="23">
        <v>0</v>
      </c>
      <c r="G16" s="24">
        <f>SUM(Tabela5[[#This Row],[PAGO]:[SALDO DE CONTRATOS]])</f>
        <v>1724120.7574000002</v>
      </c>
      <c r="H16" s="24">
        <f>Tabela5[[#This Row],[VALOR ORÇADO]]-Tabela5[[#This Row],[COMPROMETIDO]]</f>
        <v>82928.246191998944</v>
      </c>
      <c r="I16" s="24">
        <f>Tabela5[[#This Row],[VALOR ATUALIZADO]]-Tabela5[[#This Row],[COMPROMETIDO]]</f>
        <v>381633.4464857562</v>
      </c>
      <c r="J16" s="23">
        <v>9710.3024999999907</v>
      </c>
      <c r="K16" s="24">
        <f>Tabela5[[#This Row],[PREV. FINANCEIRA]]+Tabela5[[#This Row],[PAGO]]</f>
        <v>1724120.7574000002</v>
      </c>
      <c r="L16" s="24">
        <f>Tabela5[[#This Row],[VALOR ORÇADO]]-Tabela5[[#This Row],[CUSTO AO TÉRMINO]]</f>
        <v>82928.246191998944</v>
      </c>
      <c r="M16" s="25">
        <f>IFERROR(Tabela5[[#This Row],[DESVIO NOMINAL R$]]/Tabela5[[#This Row],[VALOR ORÇADO]],0)</f>
        <v>4.5891531456621594E-2</v>
      </c>
      <c r="N16" s="24">
        <f>Tabela5[[#This Row],[VALOR ATUALIZADO]]-Tabela5[[#This Row],[CUSTO AO TÉRMINO]]</f>
        <v>381633.4464857562</v>
      </c>
      <c r="O16" s="26">
        <f>IFERROR(Tabela5[[#This Row],[DESVIO CORRIGIDO R$]]/Tabela5[[#This Row],[VALOR ATUALIZADO]],0)</f>
        <v>0.18123361491171502</v>
      </c>
    </row>
    <row r="17" spans="1:15" x14ac:dyDescent="0.25">
      <c r="A17" t="s">
        <v>325</v>
      </c>
      <c r="B17" s="23">
        <v>802658.81312800013</v>
      </c>
      <c r="C17" s="23">
        <f>Tabela5[[#This Row],[VALOR ORÇADO]]*1.1653</f>
        <v>935338.31493805849</v>
      </c>
      <c r="D17" s="23">
        <v>851712.79340000148</v>
      </c>
      <c r="E17" s="23">
        <v>3974.1717999999996</v>
      </c>
      <c r="F17" s="23">
        <v>0</v>
      </c>
      <c r="G17" s="24">
        <f>SUM(Tabela5[[#This Row],[PAGO]:[SALDO DE CONTRATOS]])</f>
        <v>855686.96520000149</v>
      </c>
      <c r="H17" s="24">
        <f>Tabela5[[#This Row],[VALOR ORÇADO]]-Tabela5[[#This Row],[COMPROMETIDO]]</f>
        <v>-53028.152072001365</v>
      </c>
      <c r="I17" s="24">
        <f>Tabela5[[#This Row],[VALOR ATUALIZADO]]-Tabela5[[#This Row],[COMPROMETIDO]]</f>
        <v>79651.349738057004</v>
      </c>
      <c r="J17" s="23">
        <v>3974.1717999987304</v>
      </c>
      <c r="K17" s="24">
        <f>Tabela5[[#This Row],[PREV. FINANCEIRA]]+Tabela5[[#This Row],[PAGO]]</f>
        <v>855686.96520000021</v>
      </c>
      <c r="L17" s="24">
        <f>Tabela5[[#This Row],[VALOR ORÇADO]]-Tabela5[[#This Row],[CUSTO AO TÉRMINO]]</f>
        <v>-53028.152072000084</v>
      </c>
      <c r="M17" s="25">
        <f>IFERROR(Tabela5[[#This Row],[DESVIO NOMINAL R$]]/Tabela5[[#This Row],[VALOR ORÇADO]],0)</f>
        <v>-6.6065619918065588E-2</v>
      </c>
      <c r="N17" s="24">
        <f>Tabela5[[#This Row],[VALOR ATUALIZADO]]-Tabela5[[#This Row],[CUSTO AO TÉRMINO]]</f>
        <v>79651.349738058285</v>
      </c>
      <c r="O17" s="26">
        <f>IFERROR(Tabela5[[#This Row],[DESVIO CORRIGIDO R$]]/Tabela5[[#This Row],[VALOR ATUALIZADO]],0)</f>
        <v>8.5157796345948986E-2</v>
      </c>
    </row>
    <row r="18" spans="1:15" x14ac:dyDescent="0.25">
      <c r="A18" t="s">
        <v>326</v>
      </c>
      <c r="B18" s="23">
        <v>337521.22720800014</v>
      </c>
      <c r="C18" s="23">
        <f>Tabela5[[#This Row],[VALOR ORÇADO]]*1.1653</f>
        <v>393313.48606548255</v>
      </c>
      <c r="D18" s="23">
        <v>397421.55419999996</v>
      </c>
      <c r="E18" s="23">
        <v>166.398</v>
      </c>
      <c r="F18" s="23">
        <v>0</v>
      </c>
      <c r="G18" s="24">
        <f>SUM(Tabela5[[#This Row],[PAGO]:[SALDO DE CONTRATOS]])</f>
        <v>397587.95219999994</v>
      </c>
      <c r="H18" s="24">
        <f>Tabela5[[#This Row],[VALOR ORÇADO]]-Tabela5[[#This Row],[COMPROMETIDO]]</f>
        <v>-60066.724991999799</v>
      </c>
      <c r="I18" s="24">
        <f>Tabela5[[#This Row],[VALOR ATUALIZADO]]-Tabela5[[#This Row],[COMPROMETIDO]]</f>
        <v>-4274.4661345173954</v>
      </c>
      <c r="J18" s="23">
        <v>166.3980000000447</v>
      </c>
      <c r="K18" s="24">
        <f>Tabela5[[#This Row],[PREV. FINANCEIRA]]+Tabela5[[#This Row],[PAGO]]</f>
        <v>397587.9522</v>
      </c>
      <c r="L18" s="24">
        <f>Tabela5[[#This Row],[VALOR ORÇADO]]-Tabela5[[#This Row],[CUSTO AO TÉRMINO]]</f>
        <v>-60066.724991999858</v>
      </c>
      <c r="M18" s="25">
        <f>IFERROR(Tabela5[[#This Row],[DESVIO NOMINAL R$]]/Tabela5[[#This Row],[VALOR ORÇADO]],0)</f>
        <v>-0.1779642883171412</v>
      </c>
      <c r="N18" s="24">
        <f>Tabela5[[#This Row],[VALOR ATUALIZADO]]-Tabela5[[#This Row],[CUSTO AO TÉRMINO]]</f>
        <v>-4274.4661345174536</v>
      </c>
      <c r="O18" s="26">
        <f>IFERROR(Tabela5[[#This Row],[DESVIO CORRIGIDO R$]]/Tabela5[[#This Row],[VALOR ATUALIZADO]],0)</f>
        <v>-1.0867835164456578E-2</v>
      </c>
    </row>
    <row r="19" spans="1:15" x14ac:dyDescent="0.25">
      <c r="A19" t="s">
        <v>327</v>
      </c>
      <c r="B19" s="23">
        <v>384778.63079476438</v>
      </c>
      <c r="C19" s="23">
        <f>Tabela5[[#This Row],[VALOR ORÇADO]]*1.1653</f>
        <v>448382.53846513893</v>
      </c>
      <c r="D19" s="23">
        <v>340049.67670000001</v>
      </c>
      <c r="E19" s="23">
        <v>883.82330000000002</v>
      </c>
      <c r="F19" s="23">
        <v>0</v>
      </c>
      <c r="G19" s="24">
        <f>SUM(Tabela5[[#This Row],[PAGO]:[SALDO DE CONTRATOS]])</f>
        <v>340933.5</v>
      </c>
      <c r="H19" s="24">
        <f>Tabela5[[#This Row],[VALOR ORÇADO]]-Tabela5[[#This Row],[COMPROMETIDO]]</f>
        <v>43845.13079476438</v>
      </c>
      <c r="I19" s="24">
        <f>Tabela5[[#This Row],[VALOR ATUALIZADO]]-Tabela5[[#This Row],[COMPROMETIDO]]</f>
        <v>107449.03846513893</v>
      </c>
      <c r="J19" s="23">
        <v>883.8232999999309</v>
      </c>
      <c r="K19" s="24">
        <f>Tabela5[[#This Row],[PREV. FINANCEIRA]]+Tabela5[[#This Row],[PAGO]]</f>
        <v>340933.49999999994</v>
      </c>
      <c r="L19" s="24">
        <f>Tabela5[[#This Row],[VALOR ORÇADO]]-Tabela5[[#This Row],[CUSTO AO TÉRMINO]]</f>
        <v>43845.130794764438</v>
      </c>
      <c r="M19" s="25">
        <f>IFERROR(Tabela5[[#This Row],[DESVIO NOMINAL R$]]/Tabela5[[#This Row],[VALOR ORÇADO]],0)</f>
        <v>0.11394897555563793</v>
      </c>
      <c r="N19" s="24">
        <f>Tabela5[[#This Row],[VALOR ATUALIZADO]]-Tabela5[[#This Row],[CUSTO AO TÉRMINO]]</f>
        <v>107449.03846513899</v>
      </c>
      <c r="O19" s="26">
        <f>IFERROR(Tabela5[[#This Row],[DESVIO CORRIGIDO R$]]/Tabela5[[#This Row],[VALOR ATUALIZADO]],0)</f>
        <v>0.23963698236989439</v>
      </c>
    </row>
    <row r="20" spans="1:15" x14ac:dyDescent="0.25">
      <c r="A20" t="s">
        <v>328</v>
      </c>
      <c r="B20" s="23">
        <v>2912356.4813630003</v>
      </c>
      <c r="C20" s="23">
        <f>Tabela5[[#This Row],[VALOR ORÇADO]]*1.1653</f>
        <v>3393769.0077323043</v>
      </c>
      <c r="D20" s="23">
        <v>2612096.3115000003</v>
      </c>
      <c r="E20" s="23">
        <v>30468.9581</v>
      </c>
      <c r="F20" s="23">
        <v>49578.65999999996</v>
      </c>
      <c r="G20" s="24">
        <f>SUM(Tabela5[[#This Row],[PAGO]:[SALDO DE CONTRATOS]])</f>
        <v>2692143.9296000004</v>
      </c>
      <c r="H20" s="24">
        <f>Tabela5[[#This Row],[VALOR ORÇADO]]-Tabela5[[#This Row],[COMPROMETIDO]]</f>
        <v>220212.55176299997</v>
      </c>
      <c r="I20" s="24">
        <f>Tabela5[[#This Row],[VALOR ATUALIZADO]]-Tabela5[[#This Row],[COMPROMETIDO]]</f>
        <v>701625.0781323039</v>
      </c>
      <c r="J20" s="23">
        <v>54968.978099999949</v>
      </c>
      <c r="K20" s="24">
        <f>Tabela5[[#This Row],[PREV. FINANCEIRA]]+Tabela5[[#This Row],[PAGO]]</f>
        <v>2667065.2896000003</v>
      </c>
      <c r="L20" s="24">
        <f>Tabela5[[#This Row],[VALOR ORÇADO]]-Tabela5[[#This Row],[CUSTO AO TÉRMINO]]</f>
        <v>245291.1917630001</v>
      </c>
      <c r="M20" s="25">
        <f>IFERROR(Tabela5[[#This Row],[DESVIO NOMINAL R$]]/Tabela5[[#This Row],[VALOR ORÇADO]],0)</f>
        <v>8.422430198112367E-2</v>
      </c>
      <c r="N20" s="24">
        <f>Tabela5[[#This Row],[VALOR ATUALIZADO]]-Tabela5[[#This Row],[CUSTO AO TÉRMINO]]</f>
        <v>726703.71813230403</v>
      </c>
      <c r="O20" s="26">
        <f>IFERROR(Tabela5[[#This Row],[DESVIO CORRIGIDO R$]]/Tabela5[[#This Row],[VALOR ATUALIZADO]],0)</f>
        <v>0.2141288097323639</v>
      </c>
    </row>
    <row r="21" spans="1:15" x14ac:dyDescent="0.25">
      <c r="A21" t="s">
        <v>329</v>
      </c>
      <c r="B21" s="23">
        <v>0</v>
      </c>
      <c r="C21" s="23">
        <f>Tabela5[[#This Row],[VALOR ORÇADO]]*1.1653</f>
        <v>0</v>
      </c>
      <c r="D21" s="23">
        <v>709.58429999999998</v>
      </c>
      <c r="E21" s="23">
        <v>295</v>
      </c>
      <c r="F21" s="23">
        <v>0</v>
      </c>
      <c r="G21" s="24">
        <f>SUM(Tabela5[[#This Row],[PAGO]:[SALDO DE CONTRATOS]])</f>
        <v>1004.5843</v>
      </c>
      <c r="H21" s="24">
        <f>Tabela5[[#This Row],[VALOR ORÇADO]]-Tabela5[[#This Row],[COMPROMETIDO]]</f>
        <v>-1004.5843</v>
      </c>
      <c r="I21" s="24">
        <f>Tabela5[[#This Row],[VALOR ATUALIZADO]]-Tabela5[[#This Row],[COMPROMETIDO]]</f>
        <v>-1004.5843</v>
      </c>
      <c r="J21" s="23">
        <v>295</v>
      </c>
      <c r="K21" s="24">
        <f>Tabela5[[#This Row],[PREV. FINANCEIRA]]+Tabela5[[#This Row],[PAGO]]</f>
        <v>1004.5843</v>
      </c>
      <c r="L21" s="24">
        <f>Tabela5[[#This Row],[VALOR ORÇADO]]-Tabela5[[#This Row],[CUSTO AO TÉRMINO]]</f>
        <v>-1004.5843</v>
      </c>
      <c r="M21" s="25">
        <f>IFERROR(Tabela5[[#This Row],[DESVIO NOMINAL R$]]/Tabela5[[#This Row],[VALOR ORÇADO]],0)</f>
        <v>0</v>
      </c>
      <c r="N21" s="24">
        <f>Tabela5[[#This Row],[VALOR ATUALIZADO]]-Tabela5[[#This Row],[CUSTO AO TÉRMINO]]</f>
        <v>-1004.5843</v>
      </c>
      <c r="O21" s="26">
        <f>IFERROR(Tabela5[[#This Row],[DESVIO CORRIGIDO R$]]/Tabela5[[#This Row],[VALOR ATUALIZADO]],0)</f>
        <v>0</v>
      </c>
    </row>
    <row r="22" spans="1:15" x14ac:dyDescent="0.25">
      <c r="A22" t="s">
        <v>330</v>
      </c>
      <c r="B22" s="23">
        <v>2071176.9247519998</v>
      </c>
      <c r="C22" s="23">
        <f>Tabela5[[#This Row],[VALOR ORÇADO]]*1.1653</f>
        <v>2413542.4704135056</v>
      </c>
      <c r="D22" s="23">
        <v>1860169.5292999998</v>
      </c>
      <c r="E22" s="23">
        <v>2615.1799999999998</v>
      </c>
      <c r="F22" s="23">
        <v>31575.3</v>
      </c>
      <c r="G22" s="24">
        <f>SUM(Tabela5[[#This Row],[PAGO]:[SALDO DE CONTRATOS]])</f>
        <v>1894360.0092999998</v>
      </c>
      <c r="H22" s="24">
        <f>Tabela5[[#This Row],[VALOR ORÇADO]]-Tabela5[[#This Row],[COMPROMETIDO]]</f>
        <v>176816.91545199999</v>
      </c>
      <c r="I22" s="24">
        <f>Tabela5[[#This Row],[VALOR ATUALIZADO]]-Tabela5[[#This Row],[COMPROMETIDO]]</f>
        <v>519182.46111350576</v>
      </c>
      <c r="J22" s="23">
        <v>9115.1800000004005</v>
      </c>
      <c r="K22" s="24">
        <f>Tabela5[[#This Row],[PREV. FINANCEIRA]]+Tabela5[[#This Row],[PAGO]]</f>
        <v>1869284.7093000002</v>
      </c>
      <c r="L22" s="24">
        <f>Tabela5[[#This Row],[VALOR ORÇADO]]-Tabela5[[#This Row],[CUSTO AO TÉRMINO]]</f>
        <v>201892.21545199957</v>
      </c>
      <c r="M22" s="25">
        <f>IFERROR(Tabela5[[#This Row],[DESVIO NOMINAL R$]]/Tabela5[[#This Row],[VALOR ORÇADO]],0)</f>
        <v>9.7477049420186007E-2</v>
      </c>
      <c r="N22" s="24">
        <f>Tabela5[[#This Row],[VALOR ATUALIZADO]]-Tabela5[[#This Row],[CUSTO AO TÉRMINO]]</f>
        <v>544257.76111350534</v>
      </c>
      <c r="O22" s="26">
        <f>IFERROR(Tabela5[[#This Row],[DESVIO CORRIGIDO R$]]/Tabela5[[#This Row],[VALOR ATUALIZADO]],0)</f>
        <v>0.22550162998385487</v>
      </c>
    </row>
    <row r="23" spans="1:15" x14ac:dyDescent="0.25">
      <c r="A23" t="s">
        <v>331</v>
      </c>
      <c r="B23" s="23">
        <v>85134.830820217729</v>
      </c>
      <c r="C23" s="23">
        <f>Tabela5[[#This Row],[VALOR ORÇADO]]*1.1653</f>
        <v>99207.618354799721</v>
      </c>
      <c r="D23" s="23">
        <v>104372.26000000001</v>
      </c>
      <c r="E23" s="23">
        <v>0</v>
      </c>
      <c r="F23" s="23">
        <v>10800</v>
      </c>
      <c r="G23" s="24">
        <f>SUM(Tabela5[[#This Row],[PAGO]:[SALDO DE CONTRATOS]])</f>
        <v>115172.26000000001</v>
      </c>
      <c r="H23" s="24">
        <f>Tabela5[[#This Row],[VALOR ORÇADO]]-Tabela5[[#This Row],[COMPROMETIDO]]</f>
        <v>-30037.429179782281</v>
      </c>
      <c r="I23" s="24">
        <f>Tabela5[[#This Row],[VALOR ATUALIZADO]]-Tabela5[[#This Row],[COMPROMETIDO]]</f>
        <v>-15964.641645200289</v>
      </c>
      <c r="J23" s="23">
        <v>0</v>
      </c>
      <c r="K23" s="24">
        <f>Tabela5[[#This Row],[PREV. FINANCEIRA]]+Tabela5[[#This Row],[PAGO]]</f>
        <v>104372.26000000001</v>
      </c>
      <c r="L23" s="24">
        <f>Tabela5[[#This Row],[VALOR ORÇADO]]-Tabela5[[#This Row],[CUSTO AO TÉRMINO]]</f>
        <v>-19237.429179782281</v>
      </c>
      <c r="M23" s="25">
        <f>IFERROR(Tabela5[[#This Row],[DESVIO NOMINAL R$]]/Tabela5[[#This Row],[VALOR ORÇADO]],0)</f>
        <v>-0.22596426156535918</v>
      </c>
      <c r="N23" s="24">
        <f>Tabela5[[#This Row],[VALOR ATUALIZADO]]-Tabela5[[#This Row],[CUSTO AO TÉRMINO]]</f>
        <v>-5164.6416452002886</v>
      </c>
      <c r="O23" s="26">
        <f>IFERROR(Tabela5[[#This Row],[DESVIO CORRIGIDO R$]]/Tabela5[[#This Row],[VALOR ATUALIZADO]],0)</f>
        <v>-5.2058921792979627E-2</v>
      </c>
    </row>
    <row r="24" spans="1:15" x14ac:dyDescent="0.25">
      <c r="A24" t="s">
        <v>332</v>
      </c>
      <c r="B24" s="23">
        <v>361655.94267000002</v>
      </c>
      <c r="C24" s="23">
        <f>Tabela5[[#This Row],[VALOR ORÇADO]]*1.1653</f>
        <v>421437.66999335104</v>
      </c>
      <c r="D24" s="23">
        <v>343353.35209999984</v>
      </c>
      <c r="E24" s="23">
        <v>2323.4123</v>
      </c>
      <c r="F24" s="23">
        <v>0</v>
      </c>
      <c r="G24" s="24">
        <f>SUM(Tabela5[[#This Row],[PAGO]:[SALDO DE CONTRATOS]])</f>
        <v>345676.76439999987</v>
      </c>
      <c r="H24" s="24">
        <f>Tabela5[[#This Row],[VALOR ORÇADO]]-Tabela5[[#This Row],[COMPROMETIDO]]</f>
        <v>15979.178270000149</v>
      </c>
      <c r="I24" s="24">
        <f>Tabela5[[#This Row],[VALOR ATUALIZADO]]-Tabela5[[#This Row],[COMPROMETIDO]]</f>
        <v>75760.90559335117</v>
      </c>
      <c r="J24" s="23">
        <v>2323.4123000001418</v>
      </c>
      <c r="K24" s="24">
        <f>Tabela5[[#This Row],[PREV. FINANCEIRA]]+Tabela5[[#This Row],[PAGO]]</f>
        <v>345676.76439999999</v>
      </c>
      <c r="L24" s="24">
        <f>Tabela5[[#This Row],[VALOR ORÇADO]]-Tabela5[[#This Row],[CUSTO AO TÉRMINO]]</f>
        <v>15979.178270000033</v>
      </c>
      <c r="M24" s="25">
        <f>IFERROR(Tabela5[[#This Row],[DESVIO NOMINAL R$]]/Tabela5[[#This Row],[VALOR ORÇADO]],0)</f>
        <v>4.4183369840491031E-2</v>
      </c>
      <c r="N24" s="24">
        <f>Tabela5[[#This Row],[VALOR ATUALIZADO]]-Tabela5[[#This Row],[CUSTO AO TÉRMINO]]</f>
        <v>75760.905593351054</v>
      </c>
      <c r="O24" s="26">
        <f>IFERROR(Tabela5[[#This Row],[DESVIO CORRIGIDO R$]]/Tabela5[[#This Row],[VALOR ATUALIZADO]],0)</f>
        <v>0.17976775923838589</v>
      </c>
    </row>
    <row r="25" spans="1:15" x14ac:dyDescent="0.25">
      <c r="A25" t="s">
        <v>333</v>
      </c>
      <c r="B25" s="23">
        <v>261809.08861000001</v>
      </c>
      <c r="C25" s="23">
        <f>Tabela5[[#This Row],[VALOR ORÇADO]]*1.1653</f>
        <v>305086.13095723302</v>
      </c>
      <c r="D25" s="23">
        <v>93079.266300000003</v>
      </c>
      <c r="E25" s="23">
        <v>1256.5</v>
      </c>
      <c r="F25" s="23">
        <v>4452.68</v>
      </c>
      <c r="G25" s="24">
        <f>SUM(Tabela5[[#This Row],[PAGO]:[SALDO DE CONTRATOS]])</f>
        <v>98788.446300000011</v>
      </c>
      <c r="H25" s="24">
        <f>Tabela5[[#This Row],[VALOR ORÇADO]]-Tabela5[[#This Row],[COMPROMETIDO]]</f>
        <v>163020.64231</v>
      </c>
      <c r="I25" s="24">
        <f>Tabela5[[#This Row],[VALOR ATUALIZADO]]-Tabela5[[#This Row],[COMPROMETIDO]]</f>
        <v>206297.68465723301</v>
      </c>
      <c r="J25" s="23">
        <v>8139.1800000000076</v>
      </c>
      <c r="K25" s="24">
        <f>Tabela5[[#This Row],[PREV. FINANCEIRA]]+Tabela5[[#This Row],[PAGO]]</f>
        <v>101218.44630000001</v>
      </c>
      <c r="L25" s="24">
        <f>Tabela5[[#This Row],[VALOR ORÇADO]]-Tabela5[[#This Row],[CUSTO AO TÉRMINO]]</f>
        <v>160590.64231</v>
      </c>
      <c r="M25" s="25">
        <f>IFERROR(Tabela5[[#This Row],[DESVIO NOMINAL R$]]/Tabela5[[#This Row],[VALOR ORÇADO]],0)</f>
        <v>0.61338834019326749</v>
      </c>
      <c r="N25" s="24">
        <f>Tabela5[[#This Row],[VALOR ATUALIZADO]]-Tabela5[[#This Row],[CUSTO AO TÉRMINO]]</f>
        <v>203867.68465723301</v>
      </c>
      <c r="O25" s="26">
        <f>IFERROR(Tabela5[[#This Row],[DESVIO CORRIGIDO R$]]/Tabela5[[#This Row],[VALOR ATUALIZADO]],0)</f>
        <v>0.668229932372151</v>
      </c>
    </row>
    <row r="26" spans="1:15" x14ac:dyDescent="0.25">
      <c r="A26" t="s">
        <v>334</v>
      </c>
      <c r="B26" s="23">
        <v>1252022.68</v>
      </c>
      <c r="C26" s="23">
        <f>Tabela5[[#This Row],[VALOR ORÇADO]]*1.1653</f>
        <v>1458982.0290039999</v>
      </c>
      <c r="D26" s="23">
        <v>1434814.0766000007</v>
      </c>
      <c r="E26" s="23">
        <v>0</v>
      </c>
      <c r="F26" s="23">
        <v>0</v>
      </c>
      <c r="G26" s="24">
        <f>SUM(Tabela5[[#This Row],[PAGO]:[SALDO DE CONTRATOS]])</f>
        <v>1434814.0766000007</v>
      </c>
      <c r="H26" s="24">
        <f>Tabela5[[#This Row],[VALOR ORÇADO]]-Tabela5[[#This Row],[COMPROMETIDO]]</f>
        <v>-182791.39660000079</v>
      </c>
      <c r="I26" s="24">
        <f>Tabela5[[#This Row],[VALOR ATUALIZADO]]-Tabela5[[#This Row],[COMPROMETIDO]]</f>
        <v>24167.952403999167</v>
      </c>
      <c r="J26" s="23">
        <v>0</v>
      </c>
      <c r="K26" s="24">
        <f>Tabela5[[#This Row],[PREV. FINANCEIRA]]+Tabela5[[#This Row],[PAGO]]</f>
        <v>1434814.0766000007</v>
      </c>
      <c r="L26" s="24">
        <f>Tabela5[[#This Row],[VALOR ORÇADO]]-Tabela5[[#This Row],[CUSTO AO TÉRMINO]]</f>
        <v>-182791.39660000079</v>
      </c>
      <c r="M26" s="25">
        <f>IFERROR(Tabela5[[#This Row],[DESVIO NOMINAL R$]]/Tabela5[[#This Row],[VALOR ORÇADO]],0)</f>
        <v>-0.14599687331542652</v>
      </c>
      <c r="N26" s="24">
        <f>Tabela5[[#This Row],[VALOR ATUALIZADO]]-Tabela5[[#This Row],[CUSTO AO TÉRMINO]]</f>
        <v>24167.952403999167</v>
      </c>
      <c r="O26" s="26">
        <f>IFERROR(Tabela5[[#This Row],[DESVIO CORRIGIDO R$]]/Tabela5[[#This Row],[VALOR ATUALIZADO]],0)</f>
        <v>1.6564941804319448E-2</v>
      </c>
    </row>
    <row r="27" spans="1:15" x14ac:dyDescent="0.25">
      <c r="A27" t="s">
        <v>335</v>
      </c>
      <c r="B27" s="23">
        <v>2757269.2399999998</v>
      </c>
      <c r="C27" s="23">
        <f>Tabela5[[#This Row],[VALOR ORÇADO]]*1.1653</f>
        <v>3213045.8453719998</v>
      </c>
      <c r="D27" s="23">
        <v>2786896.56</v>
      </c>
      <c r="E27" s="23">
        <v>22568.38</v>
      </c>
      <c r="F27" s="23">
        <v>130000</v>
      </c>
      <c r="G27" s="24">
        <f>SUM(Tabela5[[#This Row],[PAGO]:[SALDO DE CONTRATOS]])</f>
        <v>2939464.94</v>
      </c>
      <c r="H27" s="24">
        <f>Tabela5[[#This Row],[VALOR ORÇADO]]-Tabela5[[#This Row],[COMPROMETIDO]]</f>
        <v>-182195.70000000019</v>
      </c>
      <c r="I27" s="24">
        <f>Tabela5[[#This Row],[VALOR ATUALIZADO]]-Tabela5[[#This Row],[COMPROMETIDO]]</f>
        <v>273580.90537199983</v>
      </c>
      <c r="J27" s="23">
        <v>61698.81</v>
      </c>
      <c r="K27" s="24">
        <f>Tabela5[[#This Row],[PREV. FINANCEIRA]]+Tabela5[[#This Row],[PAGO]]</f>
        <v>2848595.37</v>
      </c>
      <c r="L27" s="24">
        <f>Tabela5[[#This Row],[VALOR ORÇADO]]-Tabela5[[#This Row],[CUSTO AO TÉRMINO]]</f>
        <v>-91326.130000000354</v>
      </c>
      <c r="M27" s="25">
        <f>IFERROR(Tabela5[[#This Row],[DESVIO NOMINAL R$]]/Tabela5[[#This Row],[VALOR ORÇADO]],0)</f>
        <v>-3.3121948584172493E-2</v>
      </c>
      <c r="N27" s="24">
        <f>Tabela5[[#This Row],[VALOR ATUALIZADO]]-Tabela5[[#This Row],[CUSTO AO TÉRMINO]]</f>
        <v>364450.47537199967</v>
      </c>
      <c r="O27" s="26">
        <f>IFERROR(Tabela5[[#This Row],[DESVIO CORRIGIDO R$]]/Tabela5[[#This Row],[VALOR ATUALIZADO]],0)</f>
        <v>0.11342834584727325</v>
      </c>
    </row>
    <row r="28" spans="1:15" x14ac:dyDescent="0.25">
      <c r="A28" t="s">
        <v>336</v>
      </c>
      <c r="B28" s="23">
        <v>150000</v>
      </c>
      <c r="C28" s="23">
        <f>Tabela5[[#This Row],[VALOR ORÇADO]]*1.1653</f>
        <v>174795</v>
      </c>
      <c r="D28" s="23">
        <v>41390</v>
      </c>
      <c r="E28" s="23">
        <v>0</v>
      </c>
      <c r="F28" s="23">
        <v>0</v>
      </c>
      <c r="G28" s="24">
        <f>SUM(Tabela5[[#This Row],[PAGO]:[SALDO DE CONTRATOS]])</f>
        <v>41390</v>
      </c>
      <c r="H28" s="24">
        <f>Tabela5[[#This Row],[VALOR ORÇADO]]-Tabela5[[#This Row],[COMPROMETIDO]]</f>
        <v>108610</v>
      </c>
      <c r="I28" s="24">
        <f>Tabela5[[#This Row],[VALOR ATUALIZADO]]-Tabela5[[#This Row],[COMPROMETIDO]]</f>
        <v>133405</v>
      </c>
      <c r="J28" s="23">
        <v>138730</v>
      </c>
      <c r="K28" s="24">
        <f>Tabela5[[#This Row],[PREV. FINANCEIRA]]+Tabela5[[#This Row],[PAGO]]</f>
        <v>180120</v>
      </c>
      <c r="L28" s="24">
        <f>Tabela5[[#This Row],[VALOR ORÇADO]]-Tabela5[[#This Row],[CUSTO AO TÉRMINO]]</f>
        <v>-30120</v>
      </c>
      <c r="M28" s="25">
        <f>IFERROR(Tabela5[[#This Row],[DESVIO NOMINAL R$]]/Tabela5[[#This Row],[VALOR ORÇADO]],0)</f>
        <v>-0.20080000000000001</v>
      </c>
      <c r="N28" s="24">
        <f>Tabela5[[#This Row],[VALOR ATUALIZADO]]-Tabela5[[#This Row],[CUSTO AO TÉRMINO]]</f>
        <v>-5325</v>
      </c>
      <c r="O28" s="26">
        <f>IFERROR(Tabela5[[#This Row],[DESVIO CORRIGIDO R$]]/Tabela5[[#This Row],[VALOR ATUALIZADO]],0)</f>
        <v>-3.0464258130953402E-2</v>
      </c>
    </row>
    <row r="29" spans="1:15" x14ac:dyDescent="0.25">
      <c r="A29" t="s">
        <v>337</v>
      </c>
      <c r="B29" s="23">
        <v>75013.279276999994</v>
      </c>
      <c r="C29" s="23">
        <f>Tabela5[[#This Row],[VALOR ORÇADO]]*1.1653</f>
        <v>87412.974341488094</v>
      </c>
      <c r="D29" s="23">
        <v>91193.069299999988</v>
      </c>
      <c r="E29" s="23">
        <v>17303.599999999999</v>
      </c>
      <c r="F29" s="23">
        <v>0</v>
      </c>
      <c r="G29" s="24">
        <f>SUM(Tabela5[[#This Row],[PAGO]:[SALDO DE CONTRATOS]])</f>
        <v>108496.66929999998</v>
      </c>
      <c r="H29" s="24">
        <f>Tabela5[[#This Row],[VALOR ORÇADO]]-Tabela5[[#This Row],[COMPROMETIDO]]</f>
        <v>-33483.390022999985</v>
      </c>
      <c r="I29" s="24">
        <f>Tabela5[[#This Row],[VALOR ATUALIZADO]]-Tabela5[[#This Row],[COMPROMETIDO]]</f>
        <v>-21083.694958511885</v>
      </c>
      <c r="J29" s="23">
        <v>75000</v>
      </c>
      <c r="K29" s="24">
        <f>Tabela5[[#This Row],[PREV. FINANCEIRA]]+Tabela5[[#This Row],[PAGO]]</f>
        <v>166193.06929999997</v>
      </c>
      <c r="L29" s="24">
        <f>Tabela5[[#This Row],[VALOR ORÇADO]]-Tabela5[[#This Row],[CUSTO AO TÉRMINO]]</f>
        <v>-91179.79002299998</v>
      </c>
      <c r="M29" s="25">
        <f>IFERROR(Tabela5[[#This Row],[DESVIO NOMINAL R$]]/Tabela5[[#This Row],[VALOR ORÇADO]],0)</f>
        <v>-1.2155153181119072</v>
      </c>
      <c r="N29" s="24">
        <f>Tabela5[[#This Row],[VALOR ATUALIZADO]]-Tabela5[[#This Row],[CUSTO AO TÉRMINO]]</f>
        <v>-78780.09495851188</v>
      </c>
      <c r="O29" s="26">
        <f>IFERROR(Tabela5[[#This Row],[DESVIO CORRIGIDO R$]]/Tabela5[[#This Row],[VALOR ATUALIZADO]],0)</f>
        <v>-0.90124029701528119</v>
      </c>
    </row>
  </sheetData>
  <mergeCells count="2">
    <mergeCell ref="A1:O1"/>
    <mergeCell ref="A2:O2"/>
  </mergeCells>
  <conditionalFormatting sqref="B4:O2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showGridLines="0" zoomScale="160" zoomScaleNormal="160" workbookViewId="0">
      <selection activeCell="A3" sqref="A3:D20"/>
    </sheetView>
  </sheetViews>
  <sheetFormatPr defaultRowHeight="15" x14ac:dyDescent="0.25"/>
  <cols>
    <col min="1" max="4" width="25" customWidth="1"/>
  </cols>
  <sheetData>
    <row r="1" spans="1:4" ht="17.25" customHeight="1" x14ac:dyDescent="0.25">
      <c r="A1" s="36" t="s">
        <v>155</v>
      </c>
      <c r="B1" s="34"/>
      <c r="C1" s="34"/>
      <c r="D1" s="34"/>
    </row>
    <row r="2" spans="1:4" x14ac:dyDescent="0.25">
      <c r="A2" s="40" t="s">
        <v>156</v>
      </c>
      <c r="B2" s="41"/>
      <c r="C2" s="41"/>
      <c r="D2" s="42"/>
    </row>
    <row r="3" spans="1:4" x14ac:dyDescent="0.25">
      <c r="A3" s="43" t="s">
        <v>339</v>
      </c>
      <c r="B3" s="38"/>
      <c r="C3" s="38"/>
      <c r="D3" s="39"/>
    </row>
    <row r="4" spans="1:4" x14ac:dyDescent="0.25">
      <c r="A4" s="44"/>
      <c r="B4" s="34"/>
      <c r="C4" s="34"/>
      <c r="D4" s="45"/>
    </row>
    <row r="5" spans="1:4" x14ac:dyDescent="0.25">
      <c r="A5" s="44"/>
      <c r="B5" s="34"/>
      <c r="C5" s="34"/>
      <c r="D5" s="45"/>
    </row>
    <row r="6" spans="1:4" x14ac:dyDescent="0.25">
      <c r="A6" s="44"/>
      <c r="B6" s="34"/>
      <c r="C6" s="34"/>
      <c r="D6" s="45"/>
    </row>
    <row r="7" spans="1:4" x14ac:dyDescent="0.25">
      <c r="A7" s="44"/>
      <c r="B7" s="34"/>
      <c r="C7" s="34"/>
      <c r="D7" s="45"/>
    </row>
    <row r="8" spans="1:4" x14ac:dyDescent="0.25">
      <c r="A8" s="44"/>
      <c r="B8" s="34"/>
      <c r="C8" s="34"/>
      <c r="D8" s="45"/>
    </row>
    <row r="9" spans="1:4" x14ac:dyDescent="0.25">
      <c r="A9" s="44"/>
      <c r="B9" s="34"/>
      <c r="C9" s="34"/>
      <c r="D9" s="45"/>
    </row>
    <row r="10" spans="1:4" x14ac:dyDescent="0.25">
      <c r="A10" s="44"/>
      <c r="B10" s="34"/>
      <c r="C10" s="34"/>
      <c r="D10" s="45"/>
    </row>
    <row r="11" spans="1:4" x14ac:dyDescent="0.25">
      <c r="A11" s="44"/>
      <c r="B11" s="34"/>
      <c r="C11" s="34"/>
      <c r="D11" s="45"/>
    </row>
    <row r="12" spans="1:4" x14ac:dyDescent="0.25">
      <c r="A12" s="44"/>
      <c r="B12" s="34"/>
      <c r="C12" s="34"/>
      <c r="D12" s="45"/>
    </row>
    <row r="13" spans="1:4" x14ac:dyDescent="0.25">
      <c r="A13" s="44"/>
      <c r="B13" s="34"/>
      <c r="C13" s="34"/>
      <c r="D13" s="45"/>
    </row>
    <row r="14" spans="1:4" x14ac:dyDescent="0.25">
      <c r="A14" s="44"/>
      <c r="B14" s="34"/>
      <c r="C14" s="34"/>
      <c r="D14" s="45"/>
    </row>
    <row r="15" spans="1:4" x14ac:dyDescent="0.25">
      <c r="A15" s="44"/>
      <c r="B15" s="34"/>
      <c r="C15" s="34"/>
      <c r="D15" s="45"/>
    </row>
    <row r="16" spans="1:4" x14ac:dyDescent="0.25">
      <c r="A16" s="44"/>
      <c r="B16" s="34"/>
      <c r="C16" s="34"/>
      <c r="D16" s="45"/>
    </row>
    <row r="17" spans="1:4" x14ac:dyDescent="0.25">
      <c r="A17" s="44"/>
      <c r="B17" s="34"/>
      <c r="C17" s="34"/>
      <c r="D17" s="45"/>
    </row>
    <row r="18" spans="1:4" x14ac:dyDescent="0.25">
      <c r="A18" s="44"/>
      <c r="B18" s="34"/>
      <c r="C18" s="34"/>
      <c r="D18" s="45"/>
    </row>
    <row r="19" spans="1:4" x14ac:dyDescent="0.25">
      <c r="A19" s="44"/>
      <c r="B19" s="34"/>
      <c r="C19" s="34"/>
      <c r="D19" s="45"/>
    </row>
    <row r="20" spans="1:4" x14ac:dyDescent="0.25">
      <c r="A20" s="46"/>
      <c r="B20" s="47"/>
      <c r="C20" s="47"/>
      <c r="D20" s="48"/>
    </row>
  </sheetData>
  <mergeCells count="3">
    <mergeCell ref="A1:D1"/>
    <mergeCell ref="A2:D2"/>
    <mergeCell ref="A3:D2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showGridLines="0" workbookViewId="0">
      <selection activeCell="B18" sqref="B18"/>
    </sheetView>
  </sheetViews>
  <sheetFormatPr defaultRowHeight="15" x14ac:dyDescent="0.25"/>
  <cols>
    <col min="1" max="1" width="18" bestFit="1" customWidth="1"/>
    <col min="2" max="2" width="39.140625" bestFit="1" customWidth="1"/>
    <col min="3" max="3" width="13.85546875" bestFit="1" customWidth="1"/>
    <col min="4" max="4" width="17.7109375" bestFit="1" customWidth="1"/>
    <col min="5" max="5" width="11.28515625" bestFit="1" customWidth="1"/>
    <col min="6" max="6" width="14.42578125" bestFit="1" customWidth="1"/>
    <col min="7" max="7" width="18.85546875" bestFit="1" customWidth="1"/>
    <col min="8" max="8" width="20.7109375" bestFit="1" customWidth="1"/>
    <col min="9" max="9" width="14.140625" bestFit="1" customWidth="1"/>
  </cols>
  <sheetData>
    <row r="1" spans="1:9" ht="17.25" customHeight="1" x14ac:dyDescent="0.25">
      <c r="A1" s="36" t="s">
        <v>0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49" t="s">
        <v>1</v>
      </c>
      <c r="B2" s="34"/>
      <c r="C2" s="34"/>
      <c r="D2" s="34"/>
      <c r="E2" s="34"/>
      <c r="F2" s="34"/>
      <c r="G2" s="34"/>
      <c r="H2" s="34"/>
      <c r="I2" s="34"/>
    </row>
    <row r="3" spans="1:9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</row>
    <row r="4" spans="1:9" x14ac:dyDescent="0.25">
      <c r="A4" t="s">
        <v>11</v>
      </c>
      <c r="B4" t="s">
        <v>12</v>
      </c>
      <c r="C4" s="14">
        <v>46143</v>
      </c>
      <c r="D4" s="14">
        <v>46161</v>
      </c>
      <c r="E4" s="13">
        <f t="shared" ref="E4:E11" si="0">IF(OR(C4="",D4=""),"",D4-C4)</f>
        <v>18</v>
      </c>
      <c r="F4" s="11" t="s">
        <v>132</v>
      </c>
      <c r="G4" t="s">
        <v>13</v>
      </c>
    </row>
    <row r="5" spans="1:9" x14ac:dyDescent="0.25">
      <c r="A5" t="s">
        <v>14</v>
      </c>
      <c r="B5" t="s">
        <v>15</v>
      </c>
      <c r="C5" s="14">
        <v>46143</v>
      </c>
      <c r="D5" s="14">
        <v>46157</v>
      </c>
      <c r="E5" s="13">
        <f t="shared" si="0"/>
        <v>14</v>
      </c>
      <c r="F5" s="11" t="s">
        <v>28</v>
      </c>
      <c r="G5" t="s">
        <v>16</v>
      </c>
      <c r="H5" t="s">
        <v>17</v>
      </c>
    </row>
    <row r="6" spans="1:9" x14ac:dyDescent="0.25">
      <c r="A6" t="s">
        <v>18</v>
      </c>
      <c r="B6" t="s">
        <v>19</v>
      </c>
      <c r="C6" s="14">
        <v>46082</v>
      </c>
      <c r="D6" s="14">
        <v>46091</v>
      </c>
      <c r="E6" s="13">
        <f t="shared" si="0"/>
        <v>9</v>
      </c>
      <c r="F6" s="11" t="s">
        <v>117</v>
      </c>
      <c r="G6" t="s">
        <v>20</v>
      </c>
      <c r="H6" t="s">
        <v>21</v>
      </c>
      <c r="I6" t="s">
        <v>310</v>
      </c>
    </row>
    <row r="7" spans="1:9" x14ac:dyDescent="0.25">
      <c r="A7" t="s">
        <v>22</v>
      </c>
      <c r="B7" t="s">
        <v>23</v>
      </c>
      <c r="C7" s="14">
        <v>46143</v>
      </c>
      <c r="D7" s="14">
        <v>46161</v>
      </c>
      <c r="E7" s="13">
        <f t="shared" si="0"/>
        <v>18</v>
      </c>
      <c r="F7" s="11" t="s">
        <v>117</v>
      </c>
      <c r="G7" t="s">
        <v>24</v>
      </c>
      <c r="H7" t="s">
        <v>25</v>
      </c>
    </row>
    <row r="8" spans="1:9" x14ac:dyDescent="0.25">
      <c r="A8" t="s">
        <v>26</v>
      </c>
      <c r="B8" t="s">
        <v>27</v>
      </c>
      <c r="C8" s="14">
        <v>46143</v>
      </c>
      <c r="D8" s="14">
        <v>46159</v>
      </c>
      <c r="E8" s="13">
        <f t="shared" si="0"/>
        <v>16</v>
      </c>
      <c r="F8" s="11" t="s">
        <v>28</v>
      </c>
      <c r="G8" t="s">
        <v>29</v>
      </c>
      <c r="H8" t="s">
        <v>30</v>
      </c>
    </row>
    <row r="9" spans="1:9" x14ac:dyDescent="0.25">
      <c r="A9" t="s">
        <v>31</v>
      </c>
      <c r="B9" t="s">
        <v>338</v>
      </c>
      <c r="C9" s="14">
        <v>46143</v>
      </c>
      <c r="D9" s="14">
        <v>46161</v>
      </c>
      <c r="E9" s="13">
        <f t="shared" si="0"/>
        <v>18</v>
      </c>
      <c r="F9" s="11" t="s">
        <v>28</v>
      </c>
      <c r="G9" t="s">
        <v>32</v>
      </c>
      <c r="H9" t="s">
        <v>33</v>
      </c>
    </row>
    <row r="10" spans="1:9" x14ac:dyDescent="0.25">
      <c r="A10" t="s">
        <v>22</v>
      </c>
      <c r="B10" t="s">
        <v>34</v>
      </c>
      <c r="C10" s="14">
        <v>46143</v>
      </c>
      <c r="D10" s="14">
        <v>46154</v>
      </c>
      <c r="E10" s="13">
        <f t="shared" si="0"/>
        <v>11</v>
      </c>
      <c r="F10" s="11" t="s">
        <v>117</v>
      </c>
      <c r="G10" t="s">
        <v>35</v>
      </c>
      <c r="H10" t="s">
        <v>36</v>
      </c>
    </row>
    <row r="11" spans="1:9" x14ac:dyDescent="0.25">
      <c r="A11" t="s">
        <v>37</v>
      </c>
      <c r="B11" t="s">
        <v>38</v>
      </c>
      <c r="C11" s="14">
        <v>46143</v>
      </c>
      <c r="D11" s="14">
        <v>46161</v>
      </c>
      <c r="E11" s="13">
        <f t="shared" si="0"/>
        <v>18</v>
      </c>
      <c r="F11" s="11" t="s">
        <v>28</v>
      </c>
      <c r="G11" t="s">
        <v>14</v>
      </c>
      <c r="H11" t="s">
        <v>39</v>
      </c>
    </row>
  </sheetData>
  <mergeCells count="2">
    <mergeCell ref="A1:I1"/>
    <mergeCell ref="A2:I2"/>
  </mergeCells>
  <dataValidations count="2">
    <dataValidation type="list" allowBlank="1" showInputMessage="1" showErrorMessage="1" sqref="I4:I11" xr:uid="{00000000-0002-0000-0700-000000000000}">
      <formula1>"SIM"</formula1>
    </dataValidation>
    <dataValidation type="list" allowBlank="1" showInputMessage="1" showErrorMessage="1" sqref="F4:F11" xr:uid="{00000000-0002-0000-0700-000001000000}">
      <formula1>"Em Andamento, Pendente,Não Iniciado,Concluído"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CONFIG</vt:lpstr>
      <vt:lpstr>CAPA</vt:lpstr>
      <vt:lpstr>UNIDADES</vt:lpstr>
      <vt:lpstr>VISTORIAS</vt:lpstr>
      <vt:lpstr>DELIBERAÇÕES</vt:lpstr>
      <vt:lpstr>MFO</vt:lpstr>
      <vt:lpstr>PARECER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 Da Cunha Monteiro</dc:creator>
  <cp:lastModifiedBy>Mateus Nunes Da Cunha Monteiro</cp:lastModifiedBy>
  <dcterms:created xsi:type="dcterms:W3CDTF">2026-05-29T21:14:11Z</dcterms:created>
  <dcterms:modified xsi:type="dcterms:W3CDTF">2026-06-02T17:41:01Z</dcterms:modified>
</cp:coreProperties>
</file>