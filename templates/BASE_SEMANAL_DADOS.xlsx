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7" autoFilterDateGrouping="1"/>
  </bookViews>
  <sheets>
    <sheet name="CONFIG" sheetId="1" state="visible" r:id="rId1"/>
    <sheet name="CAPA" sheetId="2" state="visible" r:id="rId2"/>
    <sheet name="UNIDADES" sheetId="3" state="visible" r:id="rId3"/>
    <sheet name="VISTORIAS" sheetId="4" state="visible" r:id="rId4"/>
    <sheet name="DELIBERAÇÕES" sheetId="5" state="visible" r:id="rId5"/>
    <sheet name="MFO" sheetId="6" state="visible" r:id="rId6"/>
    <sheet name="PARECER" sheetId="7" state="visible" r:id="rId7"/>
    <sheet name="CHECKLIST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_-&quot;R$&quot;\ * #,##0.00_-;\-&quot;R$&quot;\ * #,##0.00_-;_-&quot;R$&quot;\ * &quot;-&quot;??_-;_-@_-"/>
    <numFmt numFmtId="166" formatCode="0.0%"/>
    <numFmt numFmtId="167" formatCode="yyyy-mm-dd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color rgb="FFFFFFFF"/>
      <sz val="13"/>
    </font>
    <font>
      <name val="Calibri"/>
      <family val="2"/>
      <b val="1"/>
      <color rgb="FF1A2B45"/>
      <sz val="10"/>
    </font>
    <font>
      <name val="Calibri"/>
      <family val="2"/>
      <color rgb="FF374151"/>
      <sz val="10"/>
    </font>
    <font>
      <name val="Calibri"/>
      <family val="2"/>
      <b val="1"/>
      <color rgb="FF1A2B45"/>
      <sz val="11"/>
    </font>
    <font>
      <name val="Calibri"/>
      <family val="2"/>
      <b val="1"/>
      <color rgb="FFFFFFFF"/>
      <sz val="14"/>
    </font>
    <font>
      <name val="Aptos Narrow"/>
      <family val="2"/>
      <color theme="1"/>
      <sz val="14"/>
      <scheme val="minor"/>
    </font>
    <font>
      <name val="Calibri"/>
      <family val="2"/>
      <b val="1"/>
      <color theme="2" tint="-0.749992370372631"/>
      <sz val="9"/>
    </font>
    <font>
      <name val="Calibri"/>
      <family val="2"/>
      <b val="1"/>
      <i val="1"/>
      <color theme="2" tint="-0.749992370372631"/>
      <sz val="9"/>
    </font>
    <font>
      <name val="Aptos Narrow"/>
      <family val="2"/>
      <b val="1"/>
      <color theme="2" tint="-0.749992370372631"/>
      <sz val="11"/>
      <scheme val="minor"/>
    </font>
    <font>
      <name val="Calibri"/>
      <family val="2"/>
      <color rgb="FF1E293B"/>
      <sz val="11"/>
    </font>
  </fonts>
  <fills count="9">
    <fill>
      <patternFill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51">
    <xf numFmtId="0" fontId="0" fillId="0" borderId="0" pivotButton="0" quotePrefix="0" xfId="0"/>
    <xf numFmtId="0" fontId="3" fillId="4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14" fontId="4" fillId="5" borderId="1" applyAlignment="1" pivotButton="0" quotePrefix="0" xfId="0">
      <alignment horizontal="left" vertical="center" indent="1"/>
    </xf>
    <xf numFmtId="14" fontId="4" fillId="6" borderId="1" applyAlignment="1" pivotButton="0" quotePrefix="0" xfId="0">
      <alignment horizontal="left" vertical="center" indent="1"/>
    </xf>
    <xf numFmtId="1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left" vertical="center" indent="1"/>
    </xf>
    <xf numFmtId="164" fontId="5" fillId="6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8" fillId="7" borderId="0" applyAlignment="1" pivotButton="0" quotePrefix="0" xfId="0">
      <alignment horizontal="center" vertical="center"/>
    </xf>
    <xf numFmtId="165" fontId="0" fillId="0" borderId="0" pivotButton="0" quotePrefix="0" xfId="1"/>
    <xf numFmtId="165" fontId="0" fillId="8" borderId="0" pivotButton="0" quotePrefix="0" xfId="1"/>
    <xf numFmtId="166" fontId="0" fillId="8" borderId="0" applyAlignment="1" pivotButton="0" quotePrefix="0" xfId="2">
      <alignment horizontal="center"/>
    </xf>
    <xf numFmtId="166" fontId="0" fillId="8" borderId="0" pivotButton="0" quotePrefix="0" xfId="2"/>
    <xf numFmtId="0" fontId="9" fillId="7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3" borderId="0" applyAlignment="1" pivotButton="0" quotePrefix="0" xfId="0">
      <alignment horizontal="left" vertical="center"/>
    </xf>
    <xf numFmtId="0" fontId="9" fillId="7" borderId="6" applyAlignment="1" pivotButton="0" quotePrefix="0" xfId="0">
      <alignment horizontal="left" vertical="center"/>
    </xf>
    <xf numFmtId="0" fontId="10" fillId="0" borderId="3" pivotButton="0" quotePrefix="0" xfId="0"/>
    <xf numFmtId="0" fontId="10" fillId="0" borderId="7" pivotButton="0" quotePrefix="0" xfId="0"/>
    <xf numFmtId="0" fontId="9" fillId="7" borderId="2" applyAlignment="1" pivotButton="0" quotePrefix="0" xfId="0">
      <alignment horizontal="left" vertical="center"/>
    </xf>
    <xf numFmtId="0" fontId="10" fillId="0" borderId="4" pivotButton="0" quotePrefix="0" xfId="0"/>
    <xf numFmtId="0" fontId="10" fillId="0" borderId="5" pivotButton="0" quotePrefix="0" xfId="0"/>
    <xf numFmtId="0" fontId="11" fillId="5" borderId="2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" pivotButton="0" quotePrefix="0" xfId="0"/>
    <xf numFmtId="0" fontId="0" fillId="0" borderId="11" pivotButton="0" quotePrefix="0" xfId="0"/>
    <xf numFmtId="0" fontId="9" fillId="7" borderId="8" applyAlignment="1" pivotButton="0" quotePrefix="0" xfId="0">
      <alignment horizontal="left" vertical="center"/>
    </xf>
    <xf numFmtId="0" fontId="9" fillId="7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center"/>
    </xf>
    <xf numFmtId="167" fontId="0" fillId="0" borderId="0" pivotButton="0" quotePrefix="0" xfId="0"/>
    <xf numFmtId="165" fontId="0" fillId="0" borderId="0" pivotButton="0" quotePrefix="0" xfId="1"/>
    <xf numFmtId="165" fontId="0" fillId="8" borderId="0" pivotButton="0" quotePrefix="0" xfId="1"/>
    <xf numFmtId="166" fontId="0" fillId="8" borderId="0" applyAlignment="1" pivotButton="0" quotePrefix="0" xfId="2">
      <alignment horizontal="center"/>
    </xf>
    <xf numFmtId="166" fontId="0" fillId="8" borderId="0" pivotButton="0" quotePrefix="0" xfId="2"/>
    <xf numFmtId="0" fontId="0" fillId="0" borderId="4" pivotButton="0" quotePrefix="0" xfId="0"/>
    <xf numFmtId="0" fontId="0" fillId="0" borderId="5" pivotButton="0" quotePrefix="0" xfId="0"/>
  </cellXfs>
  <cellStyles count="3">
    <cellStyle name="Normal" xfId="0" builtinId="0"/>
    <cellStyle name="Moeda" xfId="1" builtinId="4"/>
    <cellStyle name="Porcentagem" xfId="2" builtinId="5"/>
  </cellStyles>
  <dxfs count="39">
    <dxf>
      <alignment horizontal="center" vertical="bottom"/>
    </dxf>
    <dxf>
      <fill>
        <patternFill patternType="solid">
          <fgColor theme="0" tint="-0.1499984740745262"/>
          <bgColor theme="0" tint="-0.1499984740745262"/>
        </patternFill>
      </fill>
    </dxf>
    <dxf>
      <fill>
        <patternFill patternType="solid">
          <fgColor theme="0" tint="-0.1499984740745262"/>
          <bgColor theme="0" tint="-0.1499984740745262"/>
        </patternFill>
      </fill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"/>
        </left>
        <right style="thin">
          <color theme="2" tint="-0.249946592608417"/>
        </right>
        <top style="thin">
          <color theme="2" tint="-0.249946592608417"/>
        </top>
        <bottom style="thin">
          <color theme="2" tint="-0.249946592608417"/>
        </bottom>
        <vertical style="thin">
          <color theme="2" tint="-0.249946592608417"/>
        </vertical>
        <horizontal style="thin">
          <color theme="2" tint="-0.249946592608417"/>
        </horizontal>
      </border>
    </dxf>
    <dxf>
      <alignment horizontal="center" vertical="bottom"/>
    </dxf>
    <dxf>
      <fill>
        <patternFill patternType="solid">
          <fgColor indexed="64"/>
          <bgColor theme="3" tint="0.8999908444471572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numFmt numFmtId="165" formatCode="0.0%"/>
      <fill>
        <patternFill patternType="solid">
          <fgColor indexed="64"/>
          <bgColor theme="3" tint="0.8999908444471572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2"/>
        </patternFill>
      </fill>
    </dxf>
    <dxf>
      <numFmt numFmtId="165" formatCode="0.0%"/>
      <fill>
        <patternFill patternType="solid">
          <fgColor indexed="64"/>
          <bgColor theme="3" tint="0.8999908444471572"/>
        </patternFill>
      </fill>
      <alignment horizontal="center" vertical="bottom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2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2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2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2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2"/>
        </patternFill>
      </fill>
    </dxf>
    <dxf>
      <border outline="0">
        <top style="thin">
          <color rgb="FFCBD5E1"/>
        </top>
      </border>
    </dxf>
    <dxf>
      <alignment horizontal="center" vertical="bottom"/>
    </dxf>
    <dxf>
      <fill>
        <patternFill patternType="solid">
          <fgColor indexed="64"/>
          <bgColor theme="3" tint="0.8999908444471572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2"/>
        </patternFill>
      </fill>
      <alignment horizontal="center" vertical="bottom"/>
    </dxf>
    <dxf>
      <fill>
        <patternFill patternType="solid">
          <fgColor indexed="64"/>
          <bgColor theme="3" tint="0.8999908444471572"/>
        </patternFill>
      </fill>
      <alignment horizontal="center" vertical="bottom"/>
    </dxf>
    <dxf>
      <alignment horizontal="center" vertical="bottom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/>
    </dxf>
  </dxfs>
  <tableStyles count="1" defaultTableStyle="TableStyleMedium2" defaultPivotStyle="PivotStyleLight16">
    <tableStyle name="TAB - MATEUS MONTEIRO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ela2" displayName="Tabela2" ref="A3:D18" headerRowCount="1" totalsRowShown="0" headerRowDxfId="38" tableBorderDxfId="37">
  <autoFilter ref="A3:D18"/>
  <tableColumns count="4">
    <tableColumn id="1" name="BLOCO"/>
    <tableColumn id="2" name="PAVIMENTO"/>
    <tableColumn id="3" name="UNIDADE"/>
    <tableColumn id="4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id="2" name="Tabela3" displayName="Tabela3" ref="A3:F9" headerRowCount="1" totalsRowShown="0" tableBorderDxfId="36">
  <autoFilter ref="A3:F9"/>
  <tableColumns count="6">
    <tableColumn id="1" name="UNIDADE"/>
    <tableColumn id="2" name="DATA VISTORIA" dataDxfId="35"/>
    <tableColumn id="3" name="STATUS"/>
    <tableColumn id="4" name="MOTIVO REPROVAÇÃO"/>
    <tableColumn id="5" name="SEMANA Nº" dataDxfId="34">
      <calculatedColumnFormula>IF(B4="","",WEEKNUM(B4,1))</calculatedColumnFormula>
    </tableColumn>
    <tableColumn id="6" name="MÊS" dataDxfId="33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id="3" name="Tabela4" displayName="Tabela4" ref="A3:H13" headerRowCount="1" totalsRowShown="0" headerRowDxfId="32" dataDxfId="31" tableBorderDxfId="30">
  <autoFilter ref="A3:H13"/>
  <tableColumns count="8">
    <tableColumn id="1" name="DATA CADASTRO" dataDxfId="29"/>
    <tableColumn id="2" name="TIPO" dataDxfId="28"/>
    <tableColumn id="3" name="DESCRIÇÃO" dataDxfId="27"/>
    <tableColumn id="4" name="1º PRAZO" dataDxfId="26"/>
    <tableColumn id="5" name="PRAZO ATUAL" dataDxfId="25"/>
    <tableColumn id="6" name="DELTA DIAS" dataDxfId="24">
      <calculatedColumnFormula>IF(OR(D4="",E4=""),"",E4-D4)</calculatedColumnFormula>
    </tableColumn>
    <tableColumn id="7" name="RESPONSÁVEL" dataDxfId="23"/>
    <tableColumn id="8" name="STATUS" dataDxfId="8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id="4" name="Tabela5" displayName="Tabela5" ref="A3:O13" headerRowCount="1" totalsRowShown="0" tableBorderDxfId="22">
  <autoFilter ref="A3:O13"/>
  <tableColumns count="15">
    <tableColumn id="1" name="DESCRIÇÃO"/>
    <tableColumn id="2" name="VALOR ORÇADO" dataCellStyle="Moeda"/>
    <tableColumn id="3" name="VALOR ATUALIZADO" dataCellStyle="Moeda"/>
    <tableColumn id="4" name="PAGO" dataCellStyle="Moeda"/>
    <tableColumn id="5" name="A PAGAR" dataCellStyle="Moeda"/>
    <tableColumn id="6" name="SALDO DE CONTRATOS" dataCellStyle="Moeda"/>
    <tableColumn id="7" name="COMPROMETIDO" dataDxfId="21" dataCellStyle="Moeda">
      <calculatedColumnFormula>SUM(Tabela5[[#This Row],[PAGO]:[SALDO DE CONTRATOS]])</calculatedColumnFormula>
    </tableColumn>
    <tableColumn id="8" name="SALDO ORÇ. NOMINAL" dataDxfId="20" dataCellStyle="Moeda">
      <calculatedColumnFormula>Tabela5[[#This Row],[VALOR ORÇADO]]-Tabela5[[#This Row],[COMPROMETIDO]]</calculatedColumnFormula>
    </tableColumn>
    <tableColumn id="9" name="SALDO ORÇ. CORRIGIDO" dataDxfId="19" dataCellStyle="Moeda">
      <calculatedColumnFormula>Tabela5[[#This Row],[VALOR ATUALIZADO]]-Tabela5[[#This Row],[COMPROMETIDO]]</calculatedColumnFormula>
    </tableColumn>
    <tableColumn id="10" name="PREV. FINANCEIRA" dataCellStyle="Moeda"/>
    <tableColumn id="11" name="CUSTO AO TÉRMINO" dataDxfId="18" dataCellStyle="Moeda">
      <calculatedColumnFormula>Tabela5[[#This Row],[PREV. FINANCEIRA]]+Tabela5[[#This Row],[PAGO]]</calculatedColumnFormula>
    </tableColumn>
    <tableColumn id="12" name="DESVIO NOMINAL R$" dataDxfId="17" dataCellStyle="Moeda">
      <calculatedColumnFormula>Tabela5[[#This Row],[VALOR ORÇADO]]-Tabela5[[#This Row],[CUSTO AO TÉRMINO]]</calculatedColumnFormula>
    </tableColumn>
    <tableColumn id="13" name="DESVIO NOMINAL %" dataDxfId="16" dataCellStyle="Porcentagem">
      <calculatedColumnFormula>IFERROR(Tabela5[[#This Row],[DESVIO NOMINAL R$]]/Tabela5[[#This Row],[VALOR ORÇADO]],0)</calculatedColumnFormula>
    </tableColumn>
    <tableColumn id="14" name="DESVIO CORRIGIDO R$" dataDxfId="15" dataCellStyle="Moeda">
      <calculatedColumnFormula>Tabela5[[#This Row],[VALOR ATUALIZADO]]-Tabela5[[#This Row],[CUSTO AO TÉRMINO]]</calculatedColumnFormula>
    </tableColumn>
    <tableColumn id="15" name="DESVIO CORRIGIDO %" dataDxfId="14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id="5" name="Tabela6" displayName="Tabela6" ref="A3:I11" headerRowCount="1" totalsRowShown="0" headerRowDxfId="13" tableBorderDxfId="12">
  <autoFilter ref="A3:I11"/>
  <tableColumns count="9">
    <tableColumn id="1" name="ÁREA / LOCAL"/>
    <tableColumn id="2" name="ITEM"/>
    <tableColumn id="3" name="1º PRAZO" dataDxfId="11"/>
    <tableColumn id="4" name="PRAZO ATUAL" dataDxfId="10"/>
    <tableColumn id="5" name="DELTA" dataDxfId="9">
      <calculatedColumnFormula>IF(OR(C4="",D4=""),"",D4-C4)</calculatedColumnFormula>
    </tableColumn>
    <tableColumn id="6" name="STATUS" dataDxfId="0"/>
    <tableColumn id="7" name="RESPONSÁVEL"/>
    <tableColumn id="8" name="OBSERVAÇÃO"/>
    <tableColumn id="9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zoomScale="220" zoomScaleNormal="220" workbookViewId="0">
      <selection activeCell="A13" sqref="A13"/>
    </sheetView>
  </sheetViews>
  <sheetFormatPr baseColWidth="8" defaultRowHeight="15"/>
  <cols>
    <col width="56.85546875" bestFit="1" customWidth="1" style="23" min="1" max="1"/>
  </cols>
  <sheetData>
    <row r="1" ht="18.75" customHeight="1" s="23">
      <c r="A1" s="24" t="inlineStr">
        <is>
          <t>CONFIGURAÇÕES — CATEGORIAS DE UNIDADES</t>
        </is>
      </c>
    </row>
    <row r="2">
      <c r="A2" s="20" t="inlineStr">
        <is>
          <t xml:space="preserve">  Defina até 8 categorias. Serão as opções disponíveis na aba UNIDADES.</t>
        </is>
      </c>
    </row>
    <row r="3" ht="18.75" customHeight="1" s="23">
      <c r="A3" s="9" t="inlineStr">
        <is>
          <t>CATEGORIA</t>
        </is>
      </c>
    </row>
    <row r="4">
      <c r="A4" s="8" t="inlineStr">
        <is>
          <t>Aprovou Vistoria</t>
        </is>
      </c>
    </row>
    <row r="5">
      <c r="A5" s="8" t="inlineStr">
        <is>
          <t>Liberado</t>
        </is>
      </c>
    </row>
    <row r="6">
      <c r="A6" s="8" t="inlineStr">
        <is>
          <t>Estoque</t>
        </is>
      </c>
    </row>
    <row r="7">
      <c r="A7" s="8" t="inlineStr">
        <is>
          <t>Restrição</t>
        </is>
      </c>
    </row>
    <row r="8">
      <c r="A8" s="8" t="n"/>
    </row>
    <row r="9">
      <c r="A9" s="8" t="n"/>
    </row>
    <row r="10">
      <c r="A10" s="8" t="n"/>
    </row>
    <row r="11">
      <c r="A11" s="8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zoomScaleNormal="100" workbookViewId="0">
      <selection activeCell="A10" sqref="A10"/>
    </sheetView>
  </sheetViews>
  <sheetFormatPr baseColWidth="8" defaultRowHeight="26.25" customHeight="1"/>
  <cols>
    <col width="40" customWidth="1" style="23" min="1" max="1"/>
    <col width="36" customWidth="1" style="23" min="2" max="2"/>
  </cols>
  <sheetData>
    <row r="1" ht="26.25" customHeight="1" s="23">
      <c r="A1" s="24" t="inlineStr">
        <is>
          <t>CAPA — RELATÓRIO SEMANAL DE OBRA</t>
        </is>
      </c>
    </row>
    <row r="2" ht="26.25" customHeight="1" s="23">
      <c r="A2" s="26" t="inlineStr">
        <is>
          <t xml:space="preserve">  IDENTIFICAÇÃO DA OBRA</t>
        </is>
      </c>
    </row>
    <row r="3" ht="26.25" customHeight="1" s="23">
      <c r="A3" s="1" t="inlineStr">
        <is>
          <t>OBRA</t>
        </is>
      </c>
      <c r="B3" s="2" t="inlineStr">
        <is>
          <t>RESIDENCIAL ARVOREDO</t>
        </is>
      </c>
    </row>
    <row r="4" ht="26.25" customHeight="1" s="23">
      <c r="A4" s="1" t="inlineStr">
        <is>
          <t>CONSTRUTORA</t>
        </is>
      </c>
      <c r="B4" s="2" t="inlineStr">
        <is>
          <t>CONSTRUTORA NOVA ERA LTDA</t>
        </is>
      </c>
    </row>
    <row r="5" ht="26.25" customHeight="1" s="23">
      <c r="A5" s="1" t="inlineStr">
        <is>
          <t>GERENCIADORA</t>
        </is>
      </c>
      <c r="B5" s="2" t="inlineStr">
        <is>
          <t>Trinus Co. Participações</t>
        </is>
      </c>
    </row>
    <row r="6" ht="26.25" customHeight="1" s="23">
      <c r="A6" s="1" t="inlineStr">
        <is>
          <t>ENGENHEIRO</t>
        </is>
      </c>
      <c r="B6" s="2" t="inlineStr">
        <is>
          <t>Eng. Ricardo Alves</t>
        </is>
      </c>
    </row>
    <row r="7" ht="26.25" customHeight="1" s="23">
      <c r="A7" s="26" t="inlineStr">
        <is>
          <t xml:space="preserve">  PERÍODO DO RELATÓRIO</t>
        </is>
      </c>
    </row>
    <row r="8" ht="26.25" customHeight="1" s="23">
      <c r="A8" s="1" t="inlineStr">
        <is>
          <t>DATA INÍCIO</t>
        </is>
      </c>
      <c r="B8" s="3" t="n">
        <v>45796</v>
      </c>
    </row>
    <row r="9" ht="26.25" customHeight="1" s="23">
      <c r="A9" s="1" t="inlineStr">
        <is>
          <t>DATA FIM</t>
        </is>
      </c>
      <c r="B9" s="4">
        <f>IF(B8="","",B8+4)</f>
        <v/>
      </c>
    </row>
    <row r="10" ht="26.25" customHeight="1" s="23">
      <c r="A10" s="1" t="inlineStr">
        <is>
          <t>SEMANA</t>
        </is>
      </c>
      <c r="B10" s="5">
        <f>IF(B8="","",WEEKNUM(B8,1))</f>
        <v/>
      </c>
    </row>
    <row r="11" ht="26.25" customHeight="1" s="23">
      <c r="A11" s="26" t="inlineStr">
        <is>
          <t xml:space="preserve">  AVANÇO DE ENTREGAS</t>
        </is>
      </c>
    </row>
    <row r="12" ht="26.25" customHeight="1" s="23">
      <c r="A12" s="1" t="inlineStr">
        <is>
          <t>TOTAL APROVADAS</t>
        </is>
      </c>
      <c r="B12" s="6">
        <f>COUNTIF(Tabela2[CATEGORIA],"Aprovou Vistoria")</f>
        <v/>
      </c>
    </row>
    <row r="13" ht="26.25" customHeight="1" s="23">
      <c r="A13" s="1" t="inlineStr">
        <is>
          <t>TOTAL DISPONÍVEIS</t>
        </is>
      </c>
      <c r="B13" s="6">
        <f>COUNTA(Tabela2[CATEGORIA])</f>
        <v/>
      </c>
    </row>
    <row r="14" ht="26.25" customHeight="1" s="23">
      <c r="A14" s="1" t="inlineStr">
        <is>
          <t>AVANÇO DE ENTREGAS</t>
        </is>
      </c>
      <c r="B14" s="7">
        <f>IF(B13=0,"",ROUND(B12/B13*100,0))</f>
        <v/>
      </c>
    </row>
  </sheetData>
  <mergeCells count="4">
    <mergeCell ref="A2:B2"/>
    <mergeCell ref="A11:B11"/>
    <mergeCell ref="A1:B1"/>
    <mergeCell ref="A7:B7"/>
  </mergeCell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zoomScale="175" zoomScaleNormal="175" workbookViewId="0">
      <selection activeCell="C8" sqref="C8"/>
    </sheetView>
  </sheetViews>
  <sheetFormatPr baseColWidth="8" defaultRowHeight="15"/>
  <cols>
    <col width="27" customWidth="1" style="23" min="1" max="1"/>
    <col width="35" customWidth="1" style="23" min="2" max="2"/>
    <col width="29" customWidth="1" style="23" min="3" max="3"/>
    <col width="26" customWidth="1" style="23" min="4" max="4"/>
  </cols>
  <sheetData>
    <row r="1" ht="28.5" customHeight="1" s="23">
      <c r="A1" s="22" t="inlineStr">
        <is>
          <t>MAPA DE UNIDADES</t>
        </is>
      </c>
    </row>
    <row r="2" ht="19.5" customHeight="1" s="23">
      <c r="A2" s="21" t="inlineStr">
        <is>
          <t>Ex: Bloco 1 / Torre A</t>
        </is>
      </c>
      <c r="B2" s="21" t="inlineStr">
        <is>
          <t>Ex: 1  (Repetir P/ Cada Pav.)</t>
        </is>
      </c>
      <c r="C2" s="21" t="inlineStr">
        <is>
          <t>Ex: 01  (Só O Nº Final)</t>
        </is>
      </c>
      <c r="D2" s="21" t="inlineStr">
        <is>
          <t>Selecione Da Lista ▼</t>
        </is>
      </c>
    </row>
    <row r="3" ht="20.25" customHeight="1" s="23">
      <c r="A3" s="12" t="inlineStr">
        <is>
          <t>BLOCO</t>
        </is>
      </c>
      <c r="B3" s="12" t="inlineStr">
        <is>
          <t>PAVIMENTO</t>
        </is>
      </c>
      <c r="C3" s="12" t="inlineStr">
        <is>
          <t>UNIDADE</t>
        </is>
      </c>
      <c r="D3" s="12" t="inlineStr">
        <is>
          <t>CATEGORIA</t>
        </is>
      </c>
    </row>
    <row r="4">
      <c r="A4" t="inlineStr">
        <is>
          <t>A</t>
        </is>
      </c>
      <c r="B4" t="n">
        <v>1</v>
      </c>
      <c r="C4" t="inlineStr">
        <is>
          <t>A-101</t>
        </is>
      </c>
      <c r="D4" t="inlineStr">
        <is>
          <t>Aprovou Vistoria</t>
        </is>
      </c>
    </row>
    <row r="5">
      <c r="A5" t="inlineStr">
        <is>
          <t>A</t>
        </is>
      </c>
      <c r="B5" t="n">
        <v>1</v>
      </c>
      <c r="C5" t="inlineStr">
        <is>
          <t>A-102</t>
        </is>
      </c>
      <c r="D5" t="inlineStr">
        <is>
          <t>Aprovou Vistoria</t>
        </is>
      </c>
    </row>
    <row r="6">
      <c r="A6" t="inlineStr">
        <is>
          <t>A</t>
        </is>
      </c>
      <c r="B6" t="n">
        <v>1</v>
      </c>
      <c r="C6" t="inlineStr">
        <is>
          <t>A-103</t>
        </is>
      </c>
      <c r="D6" t="inlineStr">
        <is>
          <t>Estoque</t>
        </is>
      </c>
    </row>
    <row r="7">
      <c r="A7" t="inlineStr">
        <is>
          <t>A</t>
        </is>
      </c>
      <c r="B7" t="n">
        <v>1</v>
      </c>
      <c r="C7" t="inlineStr">
        <is>
          <t>A-104</t>
        </is>
      </c>
      <c r="D7" t="inlineStr">
        <is>
          <t>Aprovou Vistoria</t>
        </is>
      </c>
    </row>
    <row r="8">
      <c r="A8" t="inlineStr">
        <is>
          <t>A</t>
        </is>
      </c>
      <c r="B8" t="n">
        <v>2</v>
      </c>
      <c r="C8" t="inlineStr">
        <is>
          <t>A-201</t>
        </is>
      </c>
      <c r="D8" t="inlineStr">
        <is>
          <t>Liberado</t>
        </is>
      </c>
    </row>
    <row r="9">
      <c r="A9" t="inlineStr">
        <is>
          <t>A</t>
        </is>
      </c>
      <c r="B9" t="n">
        <v>2</v>
      </c>
      <c r="C9" t="inlineStr">
        <is>
          <t>A-202</t>
        </is>
      </c>
      <c r="D9" t="inlineStr">
        <is>
          <t>Restrição</t>
        </is>
      </c>
    </row>
    <row r="10">
      <c r="A10" t="inlineStr">
        <is>
          <t>A</t>
        </is>
      </c>
      <c r="B10" t="n">
        <v>2</v>
      </c>
      <c r="C10" t="inlineStr">
        <is>
          <t>A-203</t>
        </is>
      </c>
      <c r="D10" t="inlineStr">
        <is>
          <t>Aprovou Vistoria</t>
        </is>
      </c>
    </row>
    <row r="11">
      <c r="A11" t="inlineStr">
        <is>
          <t>A</t>
        </is>
      </c>
      <c r="B11" t="n">
        <v>2</v>
      </c>
      <c r="C11" t="inlineStr">
        <is>
          <t>A-204</t>
        </is>
      </c>
      <c r="D11" t="inlineStr">
        <is>
          <t>Liberado</t>
        </is>
      </c>
    </row>
    <row r="12">
      <c r="A12" t="inlineStr">
        <is>
          <t>A</t>
        </is>
      </c>
      <c r="B12" t="n">
        <v>3</v>
      </c>
      <c r="C12" t="inlineStr">
        <is>
          <t>A-301</t>
        </is>
      </c>
      <c r="D12" t="inlineStr">
        <is>
          <t>Aprovou Vistoria</t>
        </is>
      </c>
    </row>
    <row r="13">
      <c r="A13" t="inlineStr">
        <is>
          <t>A</t>
        </is>
      </c>
      <c r="B13" t="n">
        <v>3</v>
      </c>
      <c r="C13" t="inlineStr">
        <is>
          <t>A-302</t>
        </is>
      </c>
      <c r="D13" t="inlineStr">
        <is>
          <t>Aprovou Vistoria</t>
        </is>
      </c>
    </row>
    <row r="14">
      <c r="A14" t="inlineStr">
        <is>
          <t>A</t>
        </is>
      </c>
      <c r="B14" t="n">
        <v>3</v>
      </c>
      <c r="C14" t="inlineStr">
        <is>
          <t>A-303</t>
        </is>
      </c>
      <c r="D14" t="inlineStr">
        <is>
          <t>Estoque</t>
        </is>
      </c>
    </row>
    <row r="15">
      <c r="A15" t="inlineStr">
        <is>
          <t>A</t>
        </is>
      </c>
      <c r="B15" t="n">
        <v>3</v>
      </c>
      <c r="C15" t="inlineStr">
        <is>
          <t>A-304</t>
        </is>
      </c>
      <c r="D15" t="inlineStr">
        <is>
          <t>Aprovou Vistoria</t>
        </is>
      </c>
    </row>
    <row r="16">
      <c r="A16" t="inlineStr">
        <is>
          <t>A</t>
        </is>
      </c>
      <c r="B16" t="n">
        <v>4</v>
      </c>
      <c r="C16" t="inlineStr">
        <is>
          <t>A-401</t>
        </is>
      </c>
      <c r="D16" t="inlineStr">
        <is>
          <t>Liberado</t>
        </is>
      </c>
    </row>
    <row r="17">
      <c r="A17" t="inlineStr">
        <is>
          <t>A</t>
        </is>
      </c>
      <c r="B17" t="n">
        <v>4</v>
      </c>
      <c r="C17" t="inlineStr">
        <is>
          <t>A-402</t>
        </is>
      </c>
      <c r="D17" t="inlineStr">
        <is>
          <t>Restrição</t>
        </is>
      </c>
    </row>
    <row r="18">
      <c r="A18" t="inlineStr">
        <is>
          <t>A</t>
        </is>
      </c>
      <c r="B18" t="n">
        <v>4</v>
      </c>
      <c r="C18" t="inlineStr">
        <is>
          <t>A-403</t>
        </is>
      </c>
      <c r="D18" t="inlineStr">
        <is>
          <t>Aprovou Vistoria</t>
        </is>
      </c>
    </row>
    <row r="19">
      <c r="A19" t="inlineStr">
        <is>
          <t>A</t>
        </is>
      </c>
      <c r="B19" t="n">
        <v>4</v>
      </c>
      <c r="C19" t="inlineStr">
        <is>
          <t>A-404</t>
        </is>
      </c>
      <c r="D19" t="inlineStr">
        <is>
          <t>Liberado</t>
        </is>
      </c>
    </row>
    <row r="20">
      <c r="A20" t="inlineStr">
        <is>
          <t>A</t>
        </is>
      </c>
      <c r="B20" t="n">
        <v>5</v>
      </c>
      <c r="C20" t="inlineStr">
        <is>
          <t>A-501</t>
        </is>
      </c>
      <c r="D20" t="inlineStr">
        <is>
          <t>Aprovou Vistoria</t>
        </is>
      </c>
    </row>
    <row r="21">
      <c r="A21" t="inlineStr">
        <is>
          <t>A</t>
        </is>
      </c>
      <c r="B21" t="n">
        <v>5</v>
      </c>
      <c r="C21" t="inlineStr">
        <is>
          <t>A-502</t>
        </is>
      </c>
      <c r="D21" t="inlineStr">
        <is>
          <t>Aprovou Vistoria</t>
        </is>
      </c>
    </row>
    <row r="22">
      <c r="A22" t="inlineStr">
        <is>
          <t>A</t>
        </is>
      </c>
      <c r="B22" t="n">
        <v>5</v>
      </c>
      <c r="C22" t="inlineStr">
        <is>
          <t>A-503</t>
        </is>
      </c>
      <c r="D22" t="inlineStr">
        <is>
          <t>Estoque</t>
        </is>
      </c>
    </row>
    <row r="23">
      <c r="A23" t="inlineStr">
        <is>
          <t>A</t>
        </is>
      </c>
      <c r="B23" t="n">
        <v>5</v>
      </c>
      <c r="C23" t="inlineStr">
        <is>
          <t>A-504</t>
        </is>
      </c>
      <c r="D23" t="inlineStr">
        <is>
          <t>Aprovou Vistoria</t>
        </is>
      </c>
    </row>
    <row r="24">
      <c r="A24" t="inlineStr">
        <is>
          <t>B</t>
        </is>
      </c>
      <c r="B24" t="n">
        <v>1</v>
      </c>
      <c r="C24" t="inlineStr">
        <is>
          <t>B-101</t>
        </is>
      </c>
      <c r="D24" t="inlineStr">
        <is>
          <t>Liberado</t>
        </is>
      </c>
    </row>
    <row r="25">
      <c r="A25" t="inlineStr">
        <is>
          <t>B</t>
        </is>
      </c>
      <c r="B25" t="n">
        <v>1</v>
      </c>
      <c r="C25" t="inlineStr">
        <is>
          <t>B-102</t>
        </is>
      </c>
      <c r="D25" t="inlineStr">
        <is>
          <t>Aprovou Vistoria</t>
        </is>
      </c>
    </row>
    <row r="26">
      <c r="A26" t="inlineStr">
        <is>
          <t>B</t>
        </is>
      </c>
      <c r="B26" t="n">
        <v>1</v>
      </c>
      <c r="C26" t="inlineStr">
        <is>
          <t>B-103</t>
        </is>
      </c>
      <c r="D26" t="inlineStr">
        <is>
          <t>Aprovou Vistoria</t>
        </is>
      </c>
    </row>
    <row r="27">
      <c r="A27" t="inlineStr">
        <is>
          <t>B</t>
        </is>
      </c>
      <c r="B27" t="n">
        <v>1</v>
      </c>
      <c r="C27" t="inlineStr">
        <is>
          <t>B-104</t>
        </is>
      </c>
      <c r="D27" t="inlineStr">
        <is>
          <t>Estoque</t>
        </is>
      </c>
    </row>
    <row r="28">
      <c r="A28" t="inlineStr">
        <is>
          <t>B</t>
        </is>
      </c>
      <c r="B28" t="n">
        <v>2</v>
      </c>
      <c r="C28" t="inlineStr">
        <is>
          <t>B-201</t>
        </is>
      </c>
      <c r="D28" t="inlineStr">
        <is>
          <t>Aprovou Vistoria</t>
        </is>
      </c>
    </row>
    <row r="29">
      <c r="A29" t="inlineStr">
        <is>
          <t>B</t>
        </is>
      </c>
      <c r="B29" t="n">
        <v>2</v>
      </c>
      <c r="C29" t="inlineStr">
        <is>
          <t>B-202</t>
        </is>
      </c>
      <c r="D29" t="inlineStr">
        <is>
          <t>Liberado</t>
        </is>
      </c>
    </row>
    <row r="30">
      <c r="A30" t="inlineStr">
        <is>
          <t>B</t>
        </is>
      </c>
      <c r="B30" t="n">
        <v>2</v>
      </c>
      <c r="C30" t="inlineStr">
        <is>
          <t>B-203</t>
        </is>
      </c>
      <c r="D30" t="inlineStr">
        <is>
          <t>Restrição</t>
        </is>
      </c>
    </row>
    <row r="31">
      <c r="A31" t="inlineStr">
        <is>
          <t>B</t>
        </is>
      </c>
      <c r="B31" t="n">
        <v>2</v>
      </c>
      <c r="C31" t="inlineStr">
        <is>
          <t>B-204</t>
        </is>
      </c>
      <c r="D31" t="inlineStr">
        <is>
          <t>Aprovou Vistoria</t>
        </is>
      </c>
    </row>
    <row r="32">
      <c r="A32" t="inlineStr">
        <is>
          <t>B</t>
        </is>
      </c>
      <c r="B32" t="n">
        <v>3</v>
      </c>
      <c r="C32" t="inlineStr">
        <is>
          <t>B-301</t>
        </is>
      </c>
      <c r="D32" t="inlineStr">
        <is>
          <t>Liberado</t>
        </is>
      </c>
    </row>
    <row r="33">
      <c r="A33" t="inlineStr">
        <is>
          <t>B</t>
        </is>
      </c>
      <c r="B33" t="n">
        <v>3</v>
      </c>
      <c r="C33" t="inlineStr">
        <is>
          <t>B-302</t>
        </is>
      </c>
      <c r="D33" t="inlineStr">
        <is>
          <t>Aprovou Vistoria</t>
        </is>
      </c>
    </row>
    <row r="34">
      <c r="A34" t="inlineStr">
        <is>
          <t>B</t>
        </is>
      </c>
      <c r="B34" t="n">
        <v>3</v>
      </c>
      <c r="C34" t="inlineStr">
        <is>
          <t>B-303</t>
        </is>
      </c>
      <c r="D34" t="inlineStr">
        <is>
          <t>Aprovou Vistoria</t>
        </is>
      </c>
    </row>
    <row r="35">
      <c r="A35" t="inlineStr">
        <is>
          <t>B</t>
        </is>
      </c>
      <c r="B35" t="n">
        <v>3</v>
      </c>
      <c r="C35" t="inlineStr">
        <is>
          <t>B-304</t>
        </is>
      </c>
      <c r="D35" t="inlineStr">
        <is>
          <t>Estoque</t>
        </is>
      </c>
    </row>
    <row r="36">
      <c r="A36" t="inlineStr">
        <is>
          <t>B</t>
        </is>
      </c>
      <c r="B36" t="n">
        <v>4</v>
      </c>
      <c r="C36" t="inlineStr">
        <is>
          <t>B-401</t>
        </is>
      </c>
      <c r="D36" t="inlineStr">
        <is>
          <t>Aprovou Vistoria</t>
        </is>
      </c>
    </row>
    <row r="37">
      <c r="A37" t="inlineStr">
        <is>
          <t>B</t>
        </is>
      </c>
      <c r="B37" t="n">
        <v>4</v>
      </c>
      <c r="C37" t="inlineStr">
        <is>
          <t>B-402</t>
        </is>
      </c>
      <c r="D37" t="inlineStr">
        <is>
          <t>Liberado</t>
        </is>
      </c>
    </row>
    <row r="38">
      <c r="A38" t="inlineStr">
        <is>
          <t>B</t>
        </is>
      </c>
      <c r="B38" t="n">
        <v>4</v>
      </c>
      <c r="C38" t="inlineStr">
        <is>
          <t>B-403</t>
        </is>
      </c>
      <c r="D38" t="inlineStr">
        <is>
          <t>Restrição</t>
        </is>
      </c>
    </row>
    <row r="39">
      <c r="A39" t="inlineStr">
        <is>
          <t>B</t>
        </is>
      </c>
      <c r="B39" t="n">
        <v>4</v>
      </c>
      <c r="C39" t="inlineStr">
        <is>
          <t>B-404</t>
        </is>
      </c>
      <c r="D39" t="inlineStr">
        <is>
          <t>Aprovou Vistoria</t>
        </is>
      </c>
    </row>
    <row r="40">
      <c r="A40" t="inlineStr">
        <is>
          <t>B</t>
        </is>
      </c>
      <c r="B40" t="n">
        <v>5</v>
      </c>
      <c r="C40" t="inlineStr">
        <is>
          <t>B-501</t>
        </is>
      </c>
      <c r="D40" t="inlineStr">
        <is>
          <t>Liberado</t>
        </is>
      </c>
    </row>
    <row r="41">
      <c r="A41" t="inlineStr">
        <is>
          <t>B</t>
        </is>
      </c>
      <c r="B41" t="n">
        <v>5</v>
      </c>
      <c r="C41" t="inlineStr">
        <is>
          <t>B-502</t>
        </is>
      </c>
      <c r="D41" t="inlineStr">
        <is>
          <t>Aprovou Vistoria</t>
        </is>
      </c>
    </row>
    <row r="42">
      <c r="A42" t="inlineStr">
        <is>
          <t>B</t>
        </is>
      </c>
      <c r="B42" t="n">
        <v>5</v>
      </c>
      <c r="C42" t="inlineStr">
        <is>
          <t>B-503</t>
        </is>
      </c>
      <c r="D42" t="inlineStr">
        <is>
          <t>Aprovou Vistoria</t>
        </is>
      </c>
    </row>
    <row r="43">
      <c r="A43" t="inlineStr">
        <is>
          <t>B</t>
        </is>
      </c>
      <c r="B43" t="n">
        <v>5</v>
      </c>
      <c r="C43" t="inlineStr">
        <is>
          <t>B-504</t>
        </is>
      </c>
      <c r="D43" t="inlineStr">
        <is>
          <t>Estoque</t>
        </is>
      </c>
    </row>
  </sheetData>
  <mergeCells count="1">
    <mergeCell ref="A1:D1"/>
  </mergeCell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zoomScale="130" zoomScaleNormal="130" workbookViewId="0">
      <selection activeCell="E16" sqref="E16"/>
    </sheetView>
  </sheetViews>
  <sheetFormatPr baseColWidth="8" defaultRowHeight="15"/>
  <cols>
    <col width="12" bestFit="1" customWidth="1" style="23" min="1" max="1"/>
    <col width="16.85546875" bestFit="1" customWidth="1" style="23" min="2" max="2"/>
    <col width="15.85546875" bestFit="1" customWidth="1" style="23" min="3" max="3"/>
    <col width="23.85546875" bestFit="1" customWidth="1" style="23" min="4" max="4"/>
    <col width="13.5703125" bestFit="1" customWidth="1" style="23" min="5" max="5"/>
    <col width="9.42578125" bestFit="1" customWidth="1" style="23" min="6" max="6"/>
  </cols>
  <sheetData>
    <row r="1" ht="17.25" customHeight="1" s="23">
      <c r="A1" s="22" t="inlineStr">
        <is>
          <t>REGISTRO DE VISTORIAS</t>
        </is>
      </c>
    </row>
    <row r="2">
      <c r="A2" s="15" t="inlineStr">
        <is>
          <t>Ex: Bloco 1 - 01</t>
        </is>
      </c>
      <c r="B2" s="15" t="inlineStr">
        <is>
          <t>Ex: 15/01/2025</t>
        </is>
      </c>
      <c r="C2" s="15" t="inlineStr">
        <is>
          <t>Selecione da lista ▼</t>
        </is>
      </c>
      <c r="D2" s="15" t="inlineStr">
        <is>
          <t>Preencher se Reprovada</t>
        </is>
      </c>
      <c r="E2" s="15" t="inlineStr">
        <is>
          <t>Automático</t>
        </is>
      </c>
      <c r="F2" s="15" t="inlineStr">
        <is>
          <t>Automático</t>
        </is>
      </c>
    </row>
    <row r="3">
      <c r="A3" t="inlineStr">
        <is>
          <t>UNIDADE</t>
        </is>
      </c>
      <c r="B3" t="inlineStr">
        <is>
          <t>DATA VISTORIA</t>
        </is>
      </c>
      <c r="C3" t="inlineStr">
        <is>
          <t>STATUS</t>
        </is>
      </c>
      <c r="D3" t="inlineStr">
        <is>
          <t>MOTIVO REPROVAÇÃO</t>
        </is>
      </c>
      <c r="E3" t="inlineStr">
        <is>
          <t>SEMANA Nº</t>
        </is>
      </c>
      <c r="F3" t="inlineStr">
        <is>
          <t>MÊS</t>
        </is>
      </c>
    </row>
    <row r="4">
      <c r="A4" t="inlineStr">
        <is>
          <t>B-201</t>
        </is>
      </c>
      <c r="B4" s="14" t="n">
        <v>45797</v>
      </c>
      <c r="C4" t="inlineStr">
        <is>
          <t>Reprovado</t>
        </is>
      </c>
      <c r="D4" t="inlineStr">
        <is>
          <t>Documentação pendente</t>
        </is>
      </c>
      <c r="E4" s="13">
        <f>IF(B4="","",WEEKNUM(B4,1))</f>
        <v/>
      </c>
      <c r="F4" s="13">
        <f>IF(B4="","",TEXT(B4,"mmmm"))</f>
        <v/>
      </c>
    </row>
    <row r="5">
      <c r="A5" t="inlineStr">
        <is>
          <t>A-201</t>
        </is>
      </c>
      <c r="B5" s="43" t="n">
        <v>45796</v>
      </c>
      <c r="C5" t="inlineStr">
        <is>
          <t>Não Compareceu</t>
        </is>
      </c>
      <c r="D5" t="inlineStr"/>
      <c r="E5" s="13">
        <f>IF(B5="","",WEEKNUM(B5,1))</f>
        <v/>
      </c>
      <c r="F5" s="13">
        <f>IF(B5="","",TEXT(B5,"mmmm"))</f>
        <v/>
      </c>
    </row>
    <row r="6">
      <c r="A6" t="inlineStr">
        <is>
          <t>A-204</t>
        </is>
      </c>
      <c r="B6" s="43" t="n">
        <v>45798</v>
      </c>
      <c r="C6" t="inlineStr">
        <is>
          <t>Não Compareceu</t>
        </is>
      </c>
      <c r="D6" t="inlineStr"/>
      <c r="E6" s="13">
        <f>IF(B6="","",WEEKNUM(B6,1))</f>
        <v/>
      </c>
      <c r="F6" s="13">
        <f>IF(B6="","",TEXT(B6,"mmmm"))</f>
        <v/>
      </c>
    </row>
    <row r="7">
      <c r="A7" t="inlineStr">
        <is>
          <t>A-201</t>
        </is>
      </c>
      <c r="B7" s="43" t="n">
        <v>45800</v>
      </c>
      <c r="C7" t="inlineStr">
        <is>
          <t>Aprovado</t>
        </is>
      </c>
      <c r="D7" t="inlineStr"/>
      <c r="E7" s="13">
        <f>IF(B7="","",WEEKNUM(B7,1))</f>
        <v/>
      </c>
      <c r="F7" s="13">
        <f>IF(B7="","",TEXT(B7,"mmmm"))</f>
        <v/>
      </c>
    </row>
    <row r="8">
      <c r="A8" t="inlineStr">
        <is>
          <t>A-104</t>
        </is>
      </c>
      <c r="B8" s="43" t="n">
        <v>45796</v>
      </c>
      <c r="C8" t="inlineStr">
        <is>
          <t>Reprovado</t>
        </is>
      </c>
      <c r="D8" t="inlineStr">
        <is>
          <t>Janelas com folga</t>
        </is>
      </c>
      <c r="E8" s="13">
        <f>IF(B8="","",WEEKNUM(B8,1))</f>
        <v/>
      </c>
      <c r="F8" s="13">
        <f>IF(B8="","",TEXT(B8,"mmmm"))</f>
        <v/>
      </c>
    </row>
    <row r="9">
      <c r="A9" t="inlineStr">
        <is>
          <t>A-202</t>
        </is>
      </c>
      <c r="B9" s="43" t="n">
        <v>45797</v>
      </c>
      <c r="C9" t="inlineStr">
        <is>
          <t>Aprovado</t>
        </is>
      </c>
      <c r="D9" t="inlineStr"/>
      <c r="E9" s="13">
        <f>IF(B9="","",WEEKNUM(B9,1))</f>
        <v/>
      </c>
      <c r="F9" s="13">
        <f>IF(B9="","",TEXT(B9,"mmmm"))</f>
        <v/>
      </c>
    </row>
    <row r="10">
      <c r="A10" t="inlineStr">
        <is>
          <t>B-401</t>
        </is>
      </c>
      <c r="B10" s="44" t="n">
        <v>45796</v>
      </c>
      <c r="C10" t="inlineStr">
        <is>
          <t>Não Compareceu</t>
        </is>
      </c>
      <c r="D10" t="inlineStr"/>
      <c r="E10">
        <f>IF(B10="","",WEEKNUM(B10,1))</f>
        <v/>
      </c>
      <c r="F10">
        <f>IF(B10="","",TEXT(B10,"mmmm"))</f>
        <v/>
      </c>
    </row>
    <row r="11">
      <c r="A11" t="inlineStr">
        <is>
          <t>A-301</t>
        </is>
      </c>
      <c r="B11" s="44" t="n">
        <v>45797</v>
      </c>
      <c r="C11" t="inlineStr">
        <is>
          <t>Não Compareceu</t>
        </is>
      </c>
      <c r="D11" t="inlineStr"/>
      <c r="E11">
        <f>IF(B11="","",WEEKNUM(B11,1))</f>
        <v/>
      </c>
      <c r="F11">
        <f>IF(B11="","",TEXT(B11,"mmmm"))</f>
        <v/>
      </c>
    </row>
    <row r="12">
      <c r="A12" t="inlineStr">
        <is>
          <t>A-201</t>
        </is>
      </c>
      <c r="B12" s="44" t="n">
        <v>45800</v>
      </c>
      <c r="C12" t="inlineStr">
        <is>
          <t>Não Compareceu</t>
        </is>
      </c>
      <c r="D12" t="inlineStr"/>
      <c r="E12">
        <f>IF(B12="","",WEEKNUM(B12,1))</f>
        <v/>
      </c>
      <c r="F12">
        <f>IF(B12="","",TEXT(B12,"mmmm"))</f>
        <v/>
      </c>
    </row>
    <row r="13">
      <c r="A13" t="inlineStr">
        <is>
          <t>B-302</t>
        </is>
      </c>
      <c r="B13" s="44" t="n">
        <v>45796</v>
      </c>
      <c r="C13" t="inlineStr">
        <is>
          <t>Aprovado</t>
        </is>
      </c>
      <c r="D13" t="inlineStr"/>
      <c r="E13">
        <f>IF(B13="","",WEEKNUM(B13,1))</f>
        <v/>
      </c>
      <c r="F13">
        <f>IF(B13="","",TEXT(B13,"mmmm"))</f>
        <v/>
      </c>
    </row>
    <row r="14">
      <c r="A14" t="inlineStr">
        <is>
          <t>A-104</t>
        </is>
      </c>
      <c r="B14" s="44" t="n">
        <v>45800</v>
      </c>
      <c r="C14" t="inlineStr">
        <is>
          <t>Aprovado</t>
        </is>
      </c>
      <c r="D14" t="inlineStr"/>
      <c r="E14">
        <f>IF(B14="","",WEEKNUM(B14,1))</f>
        <v/>
      </c>
      <c r="F14">
        <f>IF(B14="","",TEXT(B14,"mmmm"))</f>
        <v/>
      </c>
    </row>
    <row r="15">
      <c r="A15" t="inlineStr">
        <is>
          <t>B-102</t>
        </is>
      </c>
      <c r="B15" s="44" t="n">
        <v>45799</v>
      </c>
      <c r="C15" t="inlineStr">
        <is>
          <t>Aprovado</t>
        </is>
      </c>
      <c r="D15" t="inlineStr"/>
      <c r="E15">
        <f>IF(B15="","",WEEKNUM(B15,1))</f>
        <v/>
      </c>
      <c r="F15">
        <f>IF(B15="","",TEXT(B15,"mmmm"))</f>
        <v/>
      </c>
    </row>
  </sheetData>
  <mergeCells count="1">
    <mergeCell ref="A1:F1"/>
  </mergeCell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E8" sqref="E8"/>
    </sheetView>
  </sheetViews>
  <sheetFormatPr baseColWidth="8" defaultRowHeight="15"/>
  <cols>
    <col width="20.85546875" bestFit="1" customWidth="1" style="23" min="1" max="1"/>
    <col width="35.28515625" customWidth="1" style="23" min="2" max="3"/>
    <col width="13.85546875" bestFit="1" customWidth="1" style="23" min="4" max="4"/>
    <col width="17.7109375" bestFit="1" customWidth="1" style="23" min="5" max="5"/>
    <col width="16" bestFit="1" customWidth="1" style="23" min="6" max="6"/>
    <col width="18.85546875" bestFit="1" customWidth="1" style="23" min="7" max="7"/>
    <col width="16.5703125" bestFit="1" customWidth="1" style="23" min="8" max="8"/>
  </cols>
  <sheetData>
    <row r="1" ht="17.25" customHeight="1" s="23">
      <c r="A1" s="22" t="inlineStr">
        <is>
          <t>REGISTRO DE DELIBERAÇÕES</t>
        </is>
      </c>
    </row>
    <row r="2">
      <c r="A2" s="21" t="inlineStr">
        <is>
          <t>Ex: 10/01/2025</t>
        </is>
      </c>
      <c r="B2" s="21" t="inlineStr">
        <is>
          <t>Texto Livre</t>
        </is>
      </c>
      <c r="C2" s="21" t="inlineStr">
        <is>
          <t>Descrição Da Demanda</t>
        </is>
      </c>
      <c r="D2" s="21" t="inlineStr">
        <is>
          <t>Ex: 20/01/2025</t>
        </is>
      </c>
      <c r="E2" s="21" t="inlineStr">
        <is>
          <t>Ex: 25/01/2025</t>
        </is>
      </c>
      <c r="F2" s="21" t="inlineStr">
        <is>
          <t>Automático</t>
        </is>
      </c>
      <c r="G2" s="21" t="inlineStr">
        <is>
          <t>Ex: João Silva</t>
        </is>
      </c>
      <c r="H2" s="21" t="inlineStr">
        <is>
          <t>Selecione Da Lista ▼</t>
        </is>
      </c>
    </row>
    <row r="3">
      <c r="A3" s="11" t="inlineStr">
        <is>
          <t>DATA CADASTRO</t>
        </is>
      </c>
      <c r="B3" s="11" t="inlineStr">
        <is>
          <t>TIPO</t>
        </is>
      </c>
      <c r="C3" s="11" t="inlineStr">
        <is>
          <t>DESCRIÇÃO</t>
        </is>
      </c>
      <c r="D3" s="11" t="inlineStr">
        <is>
          <t>1º PRAZO</t>
        </is>
      </c>
      <c r="E3" s="11" t="inlineStr">
        <is>
          <t>PRAZO ATUAL</t>
        </is>
      </c>
      <c r="F3" s="11" t="inlineStr">
        <is>
          <t>DELTA DIAS</t>
        </is>
      </c>
      <c r="G3" s="11" t="inlineStr">
        <is>
          <t>RESPONSÁVEL</t>
        </is>
      </c>
      <c r="H3" s="11" t="inlineStr">
        <is>
          <t>STATUS</t>
        </is>
      </c>
    </row>
    <row r="4">
      <c r="A4" s="14" t="n">
        <v>45662</v>
      </c>
      <c r="B4" s="11" t="inlineStr">
        <is>
          <t>Técnico</t>
        </is>
      </c>
      <c r="C4" s="11" t="inlineStr">
        <is>
          <t>Revisão e aprovação do projeto elétrico do Bloco B</t>
        </is>
      </c>
      <c r="D4" s="14" t="n">
        <v>45787</v>
      </c>
      <c r="E4" s="14" t="n">
        <v>45787</v>
      </c>
      <c r="F4" s="13">
        <f>IF(OR(D4="",E4=""),"",E4-D4)</f>
        <v/>
      </c>
      <c r="G4" s="11" t="inlineStr">
        <is>
          <t>Eng. Ricardo Alves</t>
        </is>
      </c>
      <c r="H4" s="11" t="inlineStr">
        <is>
          <t>Concluído</t>
        </is>
      </c>
    </row>
    <row r="5">
      <c r="A5" s="14" t="n">
        <v>45698</v>
      </c>
      <c r="B5" s="11" t="inlineStr">
        <is>
          <t>Técnico</t>
        </is>
      </c>
      <c r="C5" s="11" t="inlineStr">
        <is>
          <t>Correção de infiltração no pavimento 3 — Bloco A</t>
        </is>
      </c>
      <c r="D5" s="14" t="n">
        <v>45792</v>
      </c>
      <c r="E5" s="14" t="n">
        <v>45792</v>
      </c>
      <c r="F5" s="13">
        <f>IF(OR(D5="",E5=""),"",E5-D5)</f>
        <v/>
      </c>
      <c r="G5" s="11" t="inlineStr">
        <is>
          <t>Gerência de Obra</t>
        </is>
      </c>
      <c r="H5" s="11" t="inlineStr">
        <is>
          <t>Concluído</t>
        </is>
      </c>
    </row>
    <row r="6">
      <c r="A6" s="14" t="n">
        <v>45731</v>
      </c>
      <c r="B6" s="11" t="inlineStr">
        <is>
          <t>Operacional</t>
        </is>
      </c>
      <c r="C6" s="11" t="inlineStr">
        <is>
          <t>Reagendamento de vistorias reprovadas por acabamento</t>
        </is>
      </c>
      <c r="D6" s="14" t="n">
        <v>45797</v>
      </c>
      <c r="E6" s="14" t="n">
        <v>45802</v>
      </c>
      <c r="F6" s="13">
        <f>IF(OR(D6="",E6=""),"",E6-D6)</f>
        <v/>
      </c>
      <c r="G6" s="11" t="inlineStr">
        <is>
          <t>Supervisão</t>
        </is>
      </c>
      <c r="H6" s="11" t="inlineStr">
        <is>
          <t>Concluído</t>
        </is>
      </c>
    </row>
    <row r="7">
      <c r="A7" s="14" t="n">
        <v>45748</v>
      </c>
      <c r="B7" s="11" t="inlineStr">
        <is>
          <t>Técnico</t>
        </is>
      </c>
      <c r="C7" s="11" t="inlineStr">
        <is>
          <t>Adequação do sistema de ventilação — 4º e 5º pavimento</t>
        </is>
      </c>
      <c r="D7" s="14" t="n">
        <v>45807</v>
      </c>
      <c r="E7" s="14" t="n">
        <v>45807</v>
      </c>
      <c r="F7" s="13">
        <f>IF(OR(D7="",E7=""),"",E7-D7)</f>
        <v/>
      </c>
      <c r="G7" s="11" t="inlineStr">
        <is>
          <t>Eng. Responsável</t>
        </is>
      </c>
      <c r="H7" s="11" t="inlineStr">
        <is>
          <t>Pendente</t>
        </is>
      </c>
    </row>
    <row r="8">
      <c r="A8" s="14" t="n">
        <v>45757</v>
      </c>
      <c r="B8" s="11" t="inlineStr">
        <is>
          <t>Administrativo</t>
        </is>
      </c>
      <c r="C8" s="11" t="inlineStr">
        <is>
          <t>Entrega de manuais de uso às unidades aprovadas</t>
        </is>
      </c>
      <c r="D8" s="14" t="n">
        <v>45813</v>
      </c>
      <c r="E8" s="14" t="n">
        <v>45813</v>
      </c>
      <c r="F8" s="13">
        <f>IF(OR(D8="",E8=""),"",E8-D8)</f>
        <v/>
      </c>
      <c r="G8" s="11" t="inlineStr">
        <is>
          <t>Adm. Obra</t>
        </is>
      </c>
      <c r="H8" s="11" t="inlineStr">
        <is>
          <t>Pendente</t>
        </is>
      </c>
    </row>
    <row r="9">
      <c r="A9" s="14" t="n">
        <v>45762</v>
      </c>
      <c r="B9" s="11" t="inlineStr">
        <is>
          <t>Operacional</t>
        </is>
      </c>
      <c r="C9" s="11" t="inlineStr">
        <is>
          <t>Instalação de medidores individuais — Bloco A concluído</t>
        </is>
      </c>
      <c r="D9" s="14" t="n">
        <v>45797</v>
      </c>
      <c r="E9" s="14" t="n">
        <v>45802</v>
      </c>
      <c r="F9" s="13">
        <f>IF(OR(D9="",E9=""),"",E9-D9)</f>
        <v/>
      </c>
      <c r="G9" s="11" t="inlineStr">
        <is>
          <t>Empreiteiro</t>
        </is>
      </c>
      <c r="H9" s="11" t="inlineStr">
        <is>
          <t>Concluído</t>
        </is>
      </c>
    </row>
    <row r="10">
      <c r="A10" s="14" t="n">
        <v>45767</v>
      </c>
      <c r="B10" s="11" t="inlineStr">
        <is>
          <t>Operacional</t>
        </is>
      </c>
      <c r="C10" s="11" t="inlineStr">
        <is>
          <t>Pintura das áreas comuns — corredor e hall de entrada</t>
        </is>
      </c>
      <c r="D10" s="14" t="n">
        <v>45805</v>
      </c>
      <c r="E10" s="14" t="n">
        <v>45805</v>
      </c>
      <c r="F10" s="13">
        <f>IF(OR(D10="",E10=""),"",E10-D10)</f>
        <v/>
      </c>
      <c r="G10" s="11" t="inlineStr">
        <is>
          <t>Equipe Pintura</t>
        </is>
      </c>
      <c r="H10" s="11" t="inlineStr">
        <is>
          <t>Em Andamento</t>
        </is>
      </c>
    </row>
    <row r="11">
      <c r="A11" s="14" t="n">
        <v>45772</v>
      </c>
      <c r="B11" s="11" t="inlineStr">
        <is>
          <t>Operacional</t>
        </is>
      </c>
      <c r="C11" s="11" t="inlineStr">
        <is>
          <t>Limpeza técnica pré-vistoria — Bloco B pavimentos 3–5</t>
        </is>
      </c>
      <c r="D11" s="14" t="n">
        <v>45799</v>
      </c>
      <c r="E11" s="14" t="n">
        <v>45799</v>
      </c>
      <c r="F11" s="13">
        <f>IF(OR(D11="",E11=""),"",E11-D11)</f>
        <v/>
      </c>
      <c r="G11" s="11" t="inlineStr">
        <is>
          <t>Terceirizada</t>
        </is>
      </c>
      <c r="H11" s="11" t="inlineStr">
        <is>
          <t>Concluído</t>
        </is>
      </c>
    </row>
    <row r="12">
      <c r="A12" s="14" t="n">
        <v>45778</v>
      </c>
      <c r="B12" s="11" t="inlineStr">
        <is>
          <t>Jurídico</t>
        </is>
      </c>
      <c r="C12" s="11" t="inlineStr">
        <is>
          <t>Regularização do habite-se junto à prefeitura</t>
        </is>
      </c>
      <c r="D12" s="14" t="n">
        <v>45823</v>
      </c>
      <c r="E12" s="14" t="n">
        <v>45823</v>
      </c>
      <c r="F12" s="13">
        <f>IF(OR(D12="",E12=""),"",E12-D12)</f>
        <v/>
      </c>
      <c r="G12" s="11" t="inlineStr">
        <is>
          <t>Adv. Jurídico</t>
        </is>
      </c>
      <c r="H12" s="11" t="inlineStr">
        <is>
          <t>Pendente</t>
        </is>
      </c>
    </row>
    <row r="13">
      <c r="A13" s="14" t="n">
        <v>45782</v>
      </c>
      <c r="B13" s="11" t="inlineStr">
        <is>
          <t>Técnico</t>
        </is>
      </c>
      <c r="C13" s="11" t="inlineStr">
        <is>
          <t>Correção de trinca fachada lateral Bloco B — laudo estrutural</t>
        </is>
      </c>
      <c r="D13" s="14" t="n">
        <v>45809</v>
      </c>
      <c r="E13" s="14" t="n">
        <v>45818</v>
      </c>
      <c r="F13" s="13">
        <f>IF(OR(D13="",E13=""),"",E13-D13)</f>
        <v/>
      </c>
      <c r="G13" s="11" t="inlineStr">
        <is>
          <t>Eng. Estrutural</t>
        </is>
      </c>
      <c r="H13" s="11" t="inlineStr">
        <is>
          <t>Em Andamento</t>
        </is>
      </c>
    </row>
  </sheetData>
  <mergeCells count="1">
    <mergeCell ref="A1:H1"/>
  </mergeCells>
  <dataValidations count="1">
    <dataValidation sqref="H4:H13" showDropDown="0" showInputMessage="1" showErrorMessage="1" allowBlank="1" type="list">
      <formula1>"Em Andamento, Pendente,Não Iniciado,Concluído"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selection activeCell="F26" sqref="F26"/>
    </sheetView>
  </sheetViews>
  <sheetFormatPr baseColWidth="8" defaultRowHeight="15"/>
  <cols>
    <col width="16.28515625" bestFit="1" customWidth="1" style="23" min="1" max="1"/>
    <col width="18.140625" bestFit="1" customWidth="1" style="23" min="2" max="2"/>
    <col width="21.28515625" bestFit="1" customWidth="1" style="23" min="3" max="3"/>
    <col width="15.85546875" bestFit="1" customWidth="1" style="23" min="4" max="4"/>
    <col width="27" bestFit="1" customWidth="1" style="23" min="5" max="5"/>
    <col width="24.7109375" bestFit="1" customWidth="1" style="23" min="6" max="6"/>
    <col width="19" bestFit="1" customWidth="1" style="23" min="7" max="7"/>
    <col width="24.140625" bestFit="1" customWidth="1" style="23" min="8" max="8"/>
    <col width="26.42578125" bestFit="1" customWidth="1" style="23" min="9" max="9"/>
    <col width="20.5703125" bestFit="1" customWidth="1" style="23" min="10" max="10"/>
    <col width="21.85546875" bestFit="1" customWidth="1" style="23" min="11" max="11"/>
    <col width="22.28515625" bestFit="1" customWidth="1" style="23" min="12" max="12"/>
    <col width="21.5703125" bestFit="1" customWidth="1" style="23" min="13" max="13"/>
    <col width="24.7109375" bestFit="1" customWidth="1" style="23" min="14" max="14"/>
    <col width="24" bestFit="1" customWidth="1" style="23" min="15" max="15"/>
  </cols>
  <sheetData>
    <row r="1" ht="17.25" customHeight="1" s="23">
      <c r="A1" s="22" t="inlineStr">
        <is>
          <t>REGISTRO DE DELIBERAÇÕES</t>
        </is>
      </c>
    </row>
    <row r="2">
      <c r="A2" s="27" t="inlineStr">
        <is>
          <t>Monitoramento Financeiro de Obra. Preencha os campos em branco. Campos em azul claro são calculados automaticamente. Valores em R$.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  <c r="O2" s="35" t="n"/>
    </row>
    <row r="3">
      <c r="A3" t="inlineStr">
        <is>
          <t>DESCRIÇÃO</t>
        </is>
      </c>
      <c r="B3" t="inlineStr">
        <is>
          <t>VALOR ORÇADO</t>
        </is>
      </c>
      <c r="C3" t="inlineStr">
        <is>
          <t>VALOR ATUALIZADO</t>
        </is>
      </c>
      <c r="D3" t="inlineStr">
        <is>
          <t>PAGO</t>
        </is>
      </c>
      <c r="E3" t="inlineStr">
        <is>
          <t>A PAGAR</t>
        </is>
      </c>
      <c r="F3" t="inlineStr">
        <is>
          <t>SALDO DE CONTRATOS</t>
        </is>
      </c>
      <c r="G3" t="inlineStr">
        <is>
          <t>COMPROMETIDO</t>
        </is>
      </c>
      <c r="H3" t="inlineStr">
        <is>
          <t>SALDO ORÇ. NOMINAL</t>
        </is>
      </c>
      <c r="I3" t="inlineStr">
        <is>
          <t>SALDO ORÇ. CORRIGIDO</t>
        </is>
      </c>
      <c r="J3" t="inlineStr">
        <is>
          <t>PREV. FINANCEIRA</t>
        </is>
      </c>
      <c r="K3" t="inlineStr">
        <is>
          <t>CUSTO AO TÉRMINO</t>
        </is>
      </c>
      <c r="L3" t="inlineStr">
        <is>
          <t>DESVIO NOMINAL R$</t>
        </is>
      </c>
      <c r="M3" t="inlineStr">
        <is>
          <t>DESVIO NOMINAL %</t>
        </is>
      </c>
      <c r="N3" t="inlineStr">
        <is>
          <t>DESVIO CORRIGIDO R$</t>
        </is>
      </c>
      <c r="O3" t="inlineStr">
        <is>
          <t>DESVIO CORRIGIDO %</t>
        </is>
      </c>
    </row>
    <row r="4">
      <c r="A4" t="inlineStr">
        <is>
          <t>Obras Civis — Estrutura</t>
        </is>
      </c>
      <c r="B4" s="45" t="n">
        <v>1250000</v>
      </c>
      <c r="C4" s="45" t="n">
        <v>1275000</v>
      </c>
      <c r="D4" s="45" t="n">
        <v>950000</v>
      </c>
      <c r="E4" s="45" t="n">
        <v>250000</v>
      </c>
      <c r="F4" s="45" t="n">
        <v>75000</v>
      </c>
      <c r="G4" s="46">
        <f>SUM(Tabela5[[#This Row],[PAGO]:[SALDO DE CONTRATOS]])</f>
        <v/>
      </c>
      <c r="H4" s="46">
        <f>Tabela5[[#This Row],[VALOR ORÇADO]]-Tabela5[[#This Row],[COMPROMETIDO]]</f>
        <v/>
      </c>
      <c r="I4" s="46">
        <f>Tabela5[[#This Row],[VALOR ATUALIZADO]]-Tabela5[[#This Row],[COMPROMETIDO]]</f>
        <v/>
      </c>
      <c r="J4" s="45" t="n">
        <v>1300000</v>
      </c>
      <c r="K4" s="46">
        <f>Tabela5[[#This Row],[PREV. FINANCEIRA]]+Tabela5[[#This Row],[PAGO]]</f>
        <v/>
      </c>
      <c r="L4" s="46">
        <f>Tabela5[[#This Row],[VALOR ORÇADO]]-Tabela5[[#This Row],[CUSTO AO TÉRMINO]]</f>
        <v/>
      </c>
      <c r="M4" s="47">
        <f>IFERROR(Tabela5[[#This Row],[DESVIO NOMINAL R$]]/Tabela5[[#This Row],[VALOR ORÇADO]],0)</f>
        <v/>
      </c>
      <c r="N4" s="46">
        <f>Tabela5[[#This Row],[VALOR ATUALIZADO]]-Tabela5[[#This Row],[CUSTO AO TÉRMINO]]</f>
        <v/>
      </c>
      <c r="O4" s="48">
        <f>IFERROR(Tabela5[[#This Row],[DESVIO CORRIGIDO R$]]/Tabela5[[#This Row],[VALOR ATUALIZADO]],0)</f>
        <v/>
      </c>
    </row>
    <row r="5">
      <c r="A5" t="inlineStr">
        <is>
          <t>Obras Civis — Acabamento</t>
        </is>
      </c>
      <c r="B5" s="45" t="n">
        <v>980000</v>
      </c>
      <c r="C5" s="45" t="n">
        <v>990000</v>
      </c>
      <c r="D5" s="45" t="n">
        <v>540000</v>
      </c>
      <c r="E5" s="45" t="n">
        <v>370000</v>
      </c>
      <c r="F5" s="45" t="n">
        <v>80000</v>
      </c>
      <c r="G5" s="46">
        <f>SUM(Tabela5[[#This Row],[PAGO]:[SALDO DE CONTRATOS]])</f>
        <v/>
      </c>
      <c r="H5" s="46">
        <f>Tabela5[[#This Row],[VALOR ORÇADO]]-Tabela5[[#This Row],[COMPROMETIDO]]</f>
        <v/>
      </c>
      <c r="I5" s="46">
        <f>Tabela5[[#This Row],[VALOR ATUALIZADO]]-Tabela5[[#This Row],[COMPROMETIDO]]</f>
        <v/>
      </c>
      <c r="J5" s="45" t="n">
        <v>950000</v>
      </c>
      <c r="K5" s="46">
        <f>Tabela5[[#This Row],[PREV. FINANCEIRA]]+Tabela5[[#This Row],[PAGO]]</f>
        <v/>
      </c>
      <c r="L5" s="46">
        <f>Tabela5[[#This Row],[VALOR ORÇADO]]-Tabela5[[#This Row],[CUSTO AO TÉRMINO]]</f>
        <v/>
      </c>
      <c r="M5" s="47">
        <f>IFERROR(Tabela5[[#This Row],[DESVIO NOMINAL R$]]/Tabela5[[#This Row],[VALOR ORÇADO]],0)</f>
        <v/>
      </c>
      <c r="N5" s="46">
        <f>Tabela5[[#This Row],[VALOR ATUALIZADO]]-Tabela5[[#This Row],[CUSTO AO TÉRMINO]]</f>
        <v/>
      </c>
      <c r="O5" s="48">
        <f>IFERROR(Tabela5[[#This Row],[DESVIO CORRIGIDO R$]]/Tabela5[[#This Row],[VALOR ATUALIZADO]],0)</f>
        <v/>
      </c>
    </row>
    <row r="6">
      <c r="A6" t="inlineStr">
        <is>
          <t>Instalações Elétricas</t>
        </is>
      </c>
      <c r="B6" s="45" t="n">
        <v>420000</v>
      </c>
      <c r="C6" s="45" t="n">
        <v>420000</v>
      </c>
      <c r="D6" s="45" t="n">
        <v>370000</v>
      </c>
      <c r="E6" s="45" t="n">
        <v>30000</v>
      </c>
      <c r="F6" s="45" t="n">
        <v>20000</v>
      </c>
      <c r="G6" s="46">
        <f>SUM(Tabela5[[#This Row],[PAGO]:[SALDO DE CONTRATOS]])</f>
        <v/>
      </c>
      <c r="H6" s="46">
        <f>Tabela5[[#This Row],[VALOR ORÇADO]]-Tabela5[[#This Row],[COMPROMETIDO]]</f>
        <v/>
      </c>
      <c r="I6" s="46">
        <f>Tabela5[[#This Row],[VALOR ATUALIZADO]]-Tabela5[[#This Row],[COMPROMETIDO]]</f>
        <v/>
      </c>
      <c r="J6" s="45" t="n">
        <v>430000</v>
      </c>
      <c r="K6" s="46">
        <f>Tabela5[[#This Row],[PREV. FINANCEIRA]]+Tabela5[[#This Row],[PAGO]]</f>
        <v/>
      </c>
      <c r="L6" s="46">
        <f>Tabela5[[#This Row],[VALOR ORÇADO]]-Tabela5[[#This Row],[CUSTO AO TÉRMINO]]</f>
        <v/>
      </c>
      <c r="M6" s="47">
        <f>IFERROR(Tabela5[[#This Row],[DESVIO NOMINAL R$]]/Tabela5[[#This Row],[VALOR ORÇADO]],0)</f>
        <v/>
      </c>
      <c r="N6" s="46">
        <f>Tabela5[[#This Row],[VALOR ATUALIZADO]]-Tabela5[[#This Row],[CUSTO AO TÉRMINO]]</f>
        <v/>
      </c>
      <c r="O6" s="48">
        <f>IFERROR(Tabela5[[#This Row],[DESVIO CORRIGIDO R$]]/Tabela5[[#This Row],[VALOR ATUALIZADO]],0)</f>
        <v/>
      </c>
    </row>
    <row r="7">
      <c r="A7" t="inlineStr">
        <is>
          <t>Instalações Hidrossanitárias</t>
        </is>
      </c>
      <c r="B7" s="45" t="n">
        <v>380000</v>
      </c>
      <c r="C7" s="45" t="n">
        <v>385000</v>
      </c>
      <c r="D7" s="45" t="n">
        <v>300000</v>
      </c>
      <c r="E7" s="45" t="n">
        <v>60000</v>
      </c>
      <c r="F7" s="45" t="n">
        <v>25000</v>
      </c>
      <c r="G7" s="46">
        <f>SUM(Tabela5[[#This Row],[PAGO]:[SALDO DE CONTRATOS]])</f>
        <v/>
      </c>
      <c r="H7" s="46">
        <f>Tabela5[[#This Row],[VALOR ORÇADO]]-Tabela5[[#This Row],[COMPROMETIDO]]</f>
        <v/>
      </c>
      <c r="I7" s="46">
        <f>Tabela5[[#This Row],[VALOR ATUALIZADO]]-Tabela5[[#This Row],[COMPROMETIDO]]</f>
        <v/>
      </c>
      <c r="J7" s="45" t="n">
        <v>375000</v>
      </c>
      <c r="K7" s="46">
        <f>Tabela5[[#This Row],[PREV. FINANCEIRA]]+Tabela5[[#This Row],[PAGO]]</f>
        <v/>
      </c>
      <c r="L7" s="46">
        <f>Tabela5[[#This Row],[VALOR ORÇADO]]-Tabela5[[#This Row],[CUSTO AO TÉRMINO]]</f>
        <v/>
      </c>
      <c r="M7" s="47">
        <f>IFERROR(Tabela5[[#This Row],[DESVIO NOMINAL R$]]/Tabela5[[#This Row],[VALOR ORÇADO]],0)</f>
        <v/>
      </c>
      <c r="N7" s="46">
        <f>Tabela5[[#This Row],[VALOR ATUALIZADO]]-Tabela5[[#This Row],[CUSTO AO TÉRMINO]]</f>
        <v/>
      </c>
      <c r="O7" s="48">
        <f>IFERROR(Tabela5[[#This Row],[DESVIO CORRIGIDO R$]]/Tabela5[[#This Row],[VALOR ATUALIZADO]],0)</f>
        <v/>
      </c>
    </row>
    <row r="8">
      <c r="A8" t="inlineStr">
        <is>
          <t>Elevadores e Automação</t>
        </is>
      </c>
      <c r="B8" s="45" t="n">
        <v>280000</v>
      </c>
      <c r="C8" s="45" t="n">
        <v>280000</v>
      </c>
      <c r="D8" s="45" t="n">
        <v>280000</v>
      </c>
      <c r="E8" s="45" t="n">
        <v>0</v>
      </c>
      <c r="F8" s="45" t="n">
        <v>0</v>
      </c>
      <c r="G8" s="46">
        <f>SUM(Tabela5[[#This Row],[PAGO]:[SALDO DE CONTRATOS]])</f>
        <v/>
      </c>
      <c r="H8" s="46">
        <f>Tabela5[[#This Row],[VALOR ORÇADO]]-Tabela5[[#This Row],[COMPROMETIDO]]</f>
        <v/>
      </c>
      <c r="I8" s="46">
        <f>Tabela5[[#This Row],[VALOR ATUALIZADO]]-Tabela5[[#This Row],[COMPROMETIDO]]</f>
        <v/>
      </c>
      <c r="J8" s="45" t="n">
        <v>280000</v>
      </c>
      <c r="K8" s="46">
        <f>Tabela5[[#This Row],[PREV. FINANCEIRA]]+Tabela5[[#This Row],[PAGO]]</f>
        <v/>
      </c>
      <c r="L8" s="46">
        <f>Tabela5[[#This Row],[VALOR ORÇADO]]-Tabela5[[#This Row],[CUSTO AO TÉRMINO]]</f>
        <v/>
      </c>
      <c r="M8" s="47">
        <f>IFERROR(Tabela5[[#This Row],[DESVIO NOMINAL R$]]/Tabela5[[#This Row],[VALOR ORÇADO]],0)</f>
        <v/>
      </c>
      <c r="N8" s="46">
        <f>Tabela5[[#This Row],[VALOR ATUALIZADO]]-Tabela5[[#This Row],[CUSTO AO TÉRMINO]]</f>
        <v/>
      </c>
      <c r="O8" s="48">
        <f>IFERROR(Tabela5[[#This Row],[DESVIO CORRIGIDO R$]]/Tabela5[[#This Row],[VALOR ATUALIZADO]],0)</f>
        <v/>
      </c>
    </row>
    <row r="9">
      <c r="A9" t="inlineStr">
        <is>
          <t>Paisagismo e Áreas Comuns</t>
        </is>
      </c>
      <c r="B9" s="45" t="n">
        <v>145000</v>
      </c>
      <c r="C9" s="45" t="n">
        <v>148000</v>
      </c>
      <c r="D9" s="45" t="n">
        <v>42000</v>
      </c>
      <c r="E9" s="45" t="n">
        <v>90000</v>
      </c>
      <c r="F9" s="45" t="n">
        <v>16000</v>
      </c>
      <c r="G9" s="46">
        <f>SUM(Tabela5[[#This Row],[PAGO]:[SALDO DE CONTRATOS]])</f>
        <v/>
      </c>
      <c r="H9" s="46">
        <f>Tabela5[[#This Row],[VALOR ORÇADO]]-Tabela5[[#This Row],[COMPROMETIDO]]</f>
        <v/>
      </c>
      <c r="I9" s="46">
        <f>Tabela5[[#This Row],[VALOR ATUALIZADO]]-Tabela5[[#This Row],[COMPROMETIDO]]</f>
        <v/>
      </c>
      <c r="J9" s="45" t="n">
        <v>130000</v>
      </c>
      <c r="K9" s="46">
        <f>Tabela5[[#This Row],[PREV. FINANCEIRA]]+Tabela5[[#This Row],[PAGO]]</f>
        <v/>
      </c>
      <c r="L9" s="46">
        <f>Tabela5[[#This Row],[VALOR ORÇADO]]-Tabela5[[#This Row],[CUSTO AO TÉRMINO]]</f>
        <v/>
      </c>
      <c r="M9" s="47">
        <f>IFERROR(Tabela5[[#This Row],[DESVIO NOMINAL R$]]/Tabela5[[#This Row],[VALOR ORÇADO]],0)</f>
        <v/>
      </c>
      <c r="N9" s="46">
        <f>Tabela5[[#This Row],[VALOR ATUALIZADO]]-Tabela5[[#This Row],[CUSTO AO TÉRMINO]]</f>
        <v/>
      </c>
      <c r="O9" s="48">
        <f>IFERROR(Tabela5[[#This Row],[DESVIO CORRIGIDO R$]]/Tabela5[[#This Row],[VALOR ATUALIZADO]],0)</f>
        <v/>
      </c>
    </row>
    <row r="10">
      <c r="A10" t="inlineStr">
        <is>
          <t>Administração e Gerenciamento</t>
        </is>
      </c>
      <c r="B10" s="45" t="n">
        <v>210000</v>
      </c>
      <c r="C10" s="45" t="n">
        <v>210000</v>
      </c>
      <c r="D10" s="45" t="n">
        <v>160000</v>
      </c>
      <c r="E10" s="45" t="n">
        <v>38000</v>
      </c>
      <c r="F10" s="45" t="n">
        <v>12000</v>
      </c>
      <c r="G10" s="46">
        <f>SUM(Tabela5[[#This Row],[PAGO]:[SALDO DE CONTRATOS]])</f>
        <v/>
      </c>
      <c r="H10" s="46">
        <f>Tabela5[[#This Row],[VALOR ORÇADO]]-Tabela5[[#This Row],[COMPROMETIDO]]</f>
        <v/>
      </c>
      <c r="I10" s="46">
        <f>Tabela5[[#This Row],[VALOR ATUALIZADO]]-Tabela5[[#This Row],[COMPROMETIDO]]</f>
        <v/>
      </c>
      <c r="J10" s="45" t="n">
        <v>200000</v>
      </c>
      <c r="K10" s="46">
        <f>Tabela5[[#This Row],[PREV. FINANCEIRA]]+Tabela5[[#This Row],[PAGO]]</f>
        <v/>
      </c>
      <c r="L10" s="46">
        <f>Tabela5[[#This Row],[VALOR ORÇADO]]-Tabela5[[#This Row],[CUSTO AO TÉRMINO]]</f>
        <v/>
      </c>
      <c r="M10" s="47">
        <f>IFERROR(Tabela5[[#This Row],[DESVIO NOMINAL R$]]/Tabela5[[#This Row],[VALOR ORÇADO]],0)</f>
        <v/>
      </c>
      <c r="N10" s="46">
        <f>Tabela5[[#This Row],[VALOR ATUALIZADO]]-Tabela5[[#This Row],[CUSTO AO TÉRMINO]]</f>
        <v/>
      </c>
      <c r="O10" s="48">
        <f>IFERROR(Tabela5[[#This Row],[DESVIO CORRIGIDO R$]]/Tabela5[[#This Row],[VALOR ATUALIZADO]],0)</f>
        <v/>
      </c>
    </row>
    <row r="11">
      <c r="A11" t="inlineStr">
        <is>
          <t>Contingências</t>
        </is>
      </c>
      <c r="B11" s="45" t="n">
        <v>85000</v>
      </c>
      <c r="C11" s="45" t="n">
        <v>85000</v>
      </c>
      <c r="D11" s="45" t="n">
        <v>18000</v>
      </c>
      <c r="E11" s="45" t="n">
        <v>50000</v>
      </c>
      <c r="F11" s="45" t="n">
        <v>17000</v>
      </c>
      <c r="G11" s="46">
        <f>SUM(Tabela5[[#This Row],[PAGO]:[SALDO DE CONTRATOS]])</f>
        <v/>
      </c>
      <c r="H11" s="46">
        <f>Tabela5[[#This Row],[VALOR ORÇADO]]-Tabela5[[#This Row],[COMPROMETIDO]]</f>
        <v/>
      </c>
      <c r="I11" s="46">
        <f>Tabela5[[#This Row],[VALOR ATUALIZADO]]-Tabela5[[#This Row],[COMPROMETIDO]]</f>
        <v/>
      </c>
      <c r="J11" s="45" t="n">
        <v>85000</v>
      </c>
      <c r="K11" s="46">
        <f>Tabela5[[#This Row],[PREV. FINANCEIRA]]+Tabela5[[#This Row],[PAGO]]</f>
        <v/>
      </c>
      <c r="L11" s="46">
        <f>Tabela5[[#This Row],[VALOR ORÇADO]]-Tabela5[[#This Row],[CUSTO AO TÉRMINO]]</f>
        <v/>
      </c>
      <c r="M11" s="47">
        <f>IFERROR(Tabela5[[#This Row],[DESVIO NOMINAL R$]]/Tabela5[[#This Row],[VALOR ORÇADO]],0)</f>
        <v/>
      </c>
      <c r="N11" s="46">
        <f>Tabela5[[#This Row],[VALOR ATUALIZADO]]-Tabela5[[#This Row],[CUSTO AO TÉRMINO]]</f>
        <v/>
      </c>
      <c r="O11" s="48">
        <f>IFERROR(Tabela5[[#This Row],[DESVIO CORRIGIDO R$]]/Tabela5[[#This Row],[VALOR ATUALIZADO]],0)</f>
        <v/>
      </c>
    </row>
    <row r="12">
      <c r="B12" s="45" t="n"/>
      <c r="C12" s="45" t="n"/>
      <c r="D12" s="45" t="n"/>
      <c r="E12" s="45" t="n"/>
      <c r="F12" s="45" t="n"/>
      <c r="G12" s="46">
        <f>SUM(Tabela5[[#This Row],[PAGO]:[SALDO DE CONTRATOS]])</f>
        <v/>
      </c>
      <c r="H12" s="46">
        <f>Tabela5[[#This Row],[VALOR ORÇADO]]-Tabela5[[#This Row],[COMPROMETIDO]]</f>
        <v/>
      </c>
      <c r="I12" s="46">
        <f>Tabela5[[#This Row],[VALOR ATUALIZADO]]-Tabela5[[#This Row],[COMPROMETIDO]]</f>
        <v/>
      </c>
      <c r="J12" s="45" t="n"/>
      <c r="K12" s="46">
        <f>Tabela5[[#This Row],[PREV. FINANCEIRA]]+Tabela5[[#This Row],[PAGO]]</f>
        <v/>
      </c>
      <c r="L12" s="46">
        <f>Tabela5[[#This Row],[VALOR ORÇADO]]-Tabela5[[#This Row],[CUSTO AO TÉRMINO]]</f>
        <v/>
      </c>
      <c r="M12" s="47">
        <f>IFERROR(Tabela5[[#This Row],[DESVIO NOMINAL R$]]/Tabela5[[#This Row],[VALOR ORÇADO]],0)</f>
        <v/>
      </c>
      <c r="N12" s="46">
        <f>Tabela5[[#This Row],[VALOR ATUALIZADO]]-Tabela5[[#This Row],[CUSTO AO TÉRMINO]]</f>
        <v/>
      </c>
      <c r="O12" s="48">
        <f>IFERROR(Tabela5[[#This Row],[DESVIO CORRIGIDO R$]]/Tabela5[[#This Row],[VALOR ATUALIZADO]],0)</f>
        <v/>
      </c>
    </row>
    <row r="13">
      <c r="B13" s="45" t="n"/>
      <c r="C13" s="45" t="n"/>
      <c r="D13" s="45" t="n"/>
      <c r="E13" s="45" t="n"/>
      <c r="F13" s="45" t="n"/>
      <c r="G13" s="46">
        <f>SUM(Tabela5[[#This Row],[PAGO]:[SALDO DE CONTRATOS]])</f>
        <v/>
      </c>
      <c r="H13" s="46">
        <f>Tabela5[[#This Row],[VALOR ORÇADO]]-Tabela5[[#This Row],[COMPROMETIDO]]</f>
        <v/>
      </c>
      <c r="I13" s="46">
        <f>Tabela5[[#This Row],[VALOR ATUALIZADO]]-Tabela5[[#This Row],[COMPROMETIDO]]</f>
        <v/>
      </c>
      <c r="J13" s="45" t="n"/>
      <c r="K13" s="46">
        <f>Tabela5[[#This Row],[PREV. FINANCEIRA]]+Tabela5[[#This Row],[PAGO]]</f>
        <v/>
      </c>
      <c r="L13" s="46">
        <f>Tabela5[[#This Row],[VALOR ORÇADO]]-Tabela5[[#This Row],[CUSTO AO TÉRMINO]]</f>
        <v/>
      </c>
      <c r="M13" s="47">
        <f>IFERROR(Tabela5[[#This Row],[DESVIO NOMINAL R$]]/Tabela5[[#This Row],[VALOR ORÇADO]],0)</f>
        <v/>
      </c>
      <c r="N13" s="46">
        <f>Tabela5[[#This Row],[VALOR ATUALIZADO]]-Tabela5[[#This Row],[CUSTO AO TÉRMINO]]</f>
        <v/>
      </c>
      <c r="O13" s="48">
        <f>IFERROR(Tabela5[[#This Row],[DESVIO CORRIGIDO R$]]/Tabela5[[#This Row],[VALOR ATUALIZADO]],0)</f>
        <v/>
      </c>
    </row>
  </sheetData>
  <mergeCells count="2">
    <mergeCell ref="A1:O1"/>
    <mergeCell ref="A2:O2"/>
  </mergeCell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zoomScale="160" zoomScaleNormal="160" workbookViewId="0">
      <selection activeCell="A3" sqref="A3:D20"/>
    </sheetView>
  </sheetViews>
  <sheetFormatPr baseColWidth="8" defaultRowHeight="15"/>
  <cols>
    <col width="25" customWidth="1" style="23" min="1" max="4"/>
  </cols>
  <sheetData>
    <row r="1" ht="17.25" customHeight="1" s="23">
      <c r="A1" s="22" t="inlineStr">
        <is>
          <t>PARECER TÉCNICO</t>
        </is>
      </c>
    </row>
    <row r="2">
      <c r="A2" s="30" t="inlineStr">
        <is>
          <t>Descreva abaixo o parecer técnico da semana.</t>
        </is>
      </c>
      <c r="B2" s="49" t="n"/>
      <c r="C2" s="49" t="n"/>
      <c r="D2" s="50" t="n"/>
    </row>
    <row r="3">
      <c r="A3" s="33" t="inlineStr">
        <is>
          <t>A semana 21 apresentou avanço positivo no ciclo de vistorias do Residencial Arvoredo. Foram realizadas 12 vistorias no período, com taxa de aprovação de 75%. O Bloco A encontra-se em estágio avançado, com 80% das unidades aprovadas. O Bloco B demanda atenção especial nos pavimentos 4 e 5, onde há restrições por acabamento incompleto. As deliberações em aberto totalizam 4 itens, sendo 2 com prazo próximo ao encerramento do mês. Recomenda-se priorizar o reagendamento das vistorias reprovadas antes do fechamento de maio.</t>
        </is>
      </c>
      <c r="B3" s="34" t="n"/>
      <c r="C3" s="34" t="n"/>
      <c r="D3" s="35" t="n"/>
    </row>
    <row r="4">
      <c r="A4" s="36" t="n"/>
      <c r="D4" s="37" t="n"/>
    </row>
    <row r="5">
      <c r="A5" s="36" t="n"/>
      <c r="D5" s="37" t="n"/>
    </row>
    <row r="6">
      <c r="A6" s="36" t="n"/>
      <c r="D6" s="37" t="n"/>
    </row>
    <row r="7">
      <c r="A7" s="36" t="n"/>
      <c r="D7" s="37" t="n"/>
    </row>
    <row r="8">
      <c r="A8" s="36" t="n"/>
      <c r="D8" s="37" t="n"/>
    </row>
    <row r="9">
      <c r="A9" s="36" t="n"/>
      <c r="D9" s="37" t="n"/>
    </row>
    <row r="10">
      <c r="A10" s="36" t="n"/>
      <c r="D10" s="37" t="n"/>
    </row>
    <row r="11">
      <c r="A11" s="36" t="n"/>
      <c r="D11" s="37" t="n"/>
    </row>
    <row r="12">
      <c r="A12" s="36" t="n"/>
      <c r="D12" s="37" t="n"/>
    </row>
    <row r="13">
      <c r="A13" s="36" t="n"/>
      <c r="D13" s="37" t="n"/>
    </row>
    <row r="14">
      <c r="A14" s="36" t="n"/>
      <c r="D14" s="37" t="n"/>
    </row>
    <row r="15">
      <c r="A15" s="36" t="n"/>
      <c r="D15" s="37" t="n"/>
    </row>
    <row r="16">
      <c r="A16" s="36" t="n"/>
      <c r="D16" s="37" t="n"/>
    </row>
    <row r="17">
      <c r="A17" s="36" t="n"/>
      <c r="D17" s="37" t="n"/>
    </row>
    <row r="18">
      <c r="A18" s="36" t="n"/>
      <c r="D18" s="37" t="n"/>
    </row>
    <row r="19">
      <c r="A19" s="36" t="n"/>
      <c r="D19" s="37" t="n"/>
    </row>
    <row r="20">
      <c r="A20" s="38" t="n"/>
      <c r="B20" s="39" t="n"/>
      <c r="C20" s="39" t="n"/>
      <c r="D20" s="40" t="n"/>
    </row>
  </sheetData>
  <mergeCells count="3">
    <mergeCell ref="A1:D1"/>
    <mergeCell ref="A2:D2"/>
    <mergeCell ref="A3:D20"/>
  </mergeCells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tabSelected="1" workbookViewId="0">
      <selection activeCell="G15" sqref="G15"/>
    </sheetView>
  </sheetViews>
  <sheetFormatPr baseColWidth="8" defaultRowHeight="15"/>
  <cols>
    <col width="36.42578125" customWidth="1" style="23" min="1" max="1"/>
    <col width="64.140625" customWidth="1" style="23" min="2" max="2"/>
    <col width="21.140625" customWidth="1" style="23" min="3" max="3"/>
    <col width="22.42578125" customWidth="1" style="23" min="4" max="4"/>
    <col width="16.85546875" bestFit="1" customWidth="1" style="23" min="5" max="5"/>
    <col width="12.28515625" bestFit="1" customWidth="1" style="23" min="6" max="6"/>
    <col width="18.85546875" bestFit="1" customWidth="1" style="23" min="7" max="7"/>
    <col width="18.140625" bestFit="1" customWidth="1" style="23" min="8" max="8"/>
    <col width="14.140625" bestFit="1" customWidth="1" style="23" min="9" max="9"/>
  </cols>
  <sheetData>
    <row r="1" ht="17.25" customHeight="1" s="23">
      <c r="A1" s="22" t="inlineStr">
        <is>
          <t>CHECKLIST DE ÁREA COMUM</t>
        </is>
      </c>
    </row>
    <row r="2">
      <c r="A2" s="41" t="inlineStr">
        <is>
          <t>Registre cada item de acompanhamento por área/local. DELTA é calculado automaticamente (dias entre 1º Prazo e Prazo Atual). STATUS = selecione da lista.</t>
        </is>
      </c>
    </row>
    <row r="3">
      <c r="A3" s="11" t="inlineStr">
        <is>
          <t>ÁREA / LOCAL</t>
        </is>
      </c>
      <c r="B3" s="11" t="inlineStr">
        <is>
          <t>ITEM</t>
        </is>
      </c>
      <c r="C3" s="11" t="inlineStr">
        <is>
          <t>1º PRAZO</t>
        </is>
      </c>
      <c r="D3" s="11" t="inlineStr">
        <is>
          <t>PRAZO ATUAL</t>
        </is>
      </c>
      <c r="E3" s="11" t="inlineStr">
        <is>
          <t>DELTA</t>
        </is>
      </c>
      <c r="F3" s="11" t="inlineStr">
        <is>
          <t>STATUS</t>
        </is>
      </c>
      <c r="G3" s="11" t="inlineStr">
        <is>
          <t>RESPONSÁVEL</t>
        </is>
      </c>
      <c r="H3" s="11" t="inlineStr">
        <is>
          <t>OBSERVAÇÃO</t>
        </is>
      </c>
      <c r="I3" s="11" t="inlineStr">
        <is>
          <t>OCULTAR</t>
        </is>
      </c>
    </row>
    <row r="4">
      <c r="A4" t="inlineStr">
        <is>
          <t>Hall / Entrada</t>
        </is>
      </c>
      <c r="B4" t="inlineStr">
        <is>
          <t>Limpeza do hall de entrada</t>
        </is>
      </c>
      <c r="C4" s="14" t="n">
        <v>45778</v>
      </c>
      <c r="D4" s="14" t="n">
        <v>45796</v>
      </c>
      <c r="E4" s="13">
        <f>IF(OR(C4="",D4=""),"",D4-C4)</f>
        <v/>
      </c>
      <c r="F4" s="11" t="inlineStr">
        <is>
          <t>OK</t>
        </is>
      </c>
      <c r="G4" t="inlineStr">
        <is>
          <t>Equipe Limpeza</t>
        </is>
      </c>
      <c r="H4" t="inlineStr"/>
    </row>
    <row r="5">
      <c r="A5" t="inlineStr">
        <is>
          <t>Elétrica</t>
        </is>
      </c>
      <c r="B5" t="inlineStr">
        <is>
          <t>Iluminação de emergência — teste mensal</t>
        </is>
      </c>
      <c r="C5" s="14" t="n">
        <v>45778</v>
      </c>
      <c r="D5" s="14" t="n">
        <v>45792</v>
      </c>
      <c r="E5" s="13">
        <f>IF(OR(C5="",D5=""),"",D5-C5)</f>
        <v/>
      </c>
      <c r="F5" s="11" t="inlineStr">
        <is>
          <t>OK</t>
        </is>
      </c>
      <c r="G5" t="inlineStr">
        <is>
          <t>Manutenção</t>
        </is>
      </c>
      <c r="H5" t="inlineStr">
        <is>
          <t>Todas testadas</t>
        </is>
      </c>
    </row>
    <row r="6">
      <c r="A6" t="inlineStr">
        <is>
          <t>Elevadores</t>
        </is>
      </c>
      <c r="B6" t="inlineStr">
        <is>
          <t>Elevador — manutenção preventiva</t>
        </is>
      </c>
      <c r="C6" s="14" t="n">
        <v>45778</v>
      </c>
      <c r="D6" s="14" t="n">
        <v>45787</v>
      </c>
      <c r="E6" s="13">
        <f>IF(OR(C6="",D6=""),"",D6-C6)</f>
        <v/>
      </c>
      <c r="F6" s="11" t="inlineStr">
        <is>
          <t>OK</t>
        </is>
      </c>
      <c r="G6" t="inlineStr">
        <is>
          <t>Empresa Elevador</t>
        </is>
      </c>
      <c r="H6" t="inlineStr">
        <is>
          <t>Certificado emitido</t>
        </is>
      </c>
    </row>
    <row r="7">
      <c r="A7" t="inlineStr">
        <is>
          <t>Segurança</t>
        </is>
      </c>
      <c r="B7" t="inlineStr">
        <is>
          <t>Câmeras de segurança — gravação ativa</t>
        </is>
      </c>
      <c r="C7" s="14" t="n">
        <v>45778</v>
      </c>
      <c r="D7" s="14" t="n">
        <v>45796</v>
      </c>
      <c r="E7" s="13">
        <f>IF(OR(C7="",D7=""),"",D7-C7)</f>
        <v/>
      </c>
      <c r="F7" s="11" t="inlineStr">
        <is>
          <t>OK</t>
        </is>
      </c>
      <c r="G7" t="inlineStr">
        <is>
          <t>TI/Segurança</t>
        </is>
      </c>
      <c r="H7" t="inlineStr">
        <is>
          <t>14 dias de gravação</t>
        </is>
      </c>
    </row>
    <row r="8">
      <c r="A8" t="inlineStr">
        <is>
          <t>Área Verde</t>
        </is>
      </c>
      <c r="B8" t="inlineStr">
        <is>
          <t>Jardim — irrigação e poda semanal</t>
        </is>
      </c>
      <c r="C8" s="14" t="n">
        <v>45778</v>
      </c>
      <c r="D8" s="14" t="n">
        <v>45794</v>
      </c>
      <c r="E8" s="13">
        <f>IF(OR(C8="",D8=""),"",D8-C8)</f>
        <v/>
      </c>
      <c r="F8" s="11" t="inlineStr">
        <is>
          <t>Pendente</t>
        </is>
      </c>
      <c r="G8" t="inlineStr">
        <is>
          <t>Jardinagem</t>
        </is>
      </c>
      <c r="H8" t="inlineStr">
        <is>
          <t>Reagendar semana 22</t>
        </is>
      </c>
    </row>
    <row r="9">
      <c r="A9" t="inlineStr">
        <is>
          <t>Piscina</t>
        </is>
      </c>
      <c r="B9" t="inlineStr">
        <is>
          <t>pH e nível de cloro</t>
        </is>
      </c>
      <c r="C9" s="14" t="n">
        <v>45778</v>
      </c>
      <c r="D9" s="14" t="n">
        <v>45796</v>
      </c>
      <c r="E9" s="13">
        <f>IF(OR(C9="",D9=""),"",D9-C9)</f>
        <v/>
      </c>
      <c r="F9" s="11" t="inlineStr">
        <is>
          <t>Atenção</t>
        </is>
      </c>
      <c r="G9" t="inlineStr">
        <is>
          <t>Piscina Maint.</t>
        </is>
      </c>
      <c r="H9" t="inlineStr">
        <is>
          <t>pH fora do padrão</t>
        </is>
      </c>
    </row>
    <row r="10">
      <c r="A10" t="inlineStr">
        <is>
          <t>Segurança</t>
        </is>
      </c>
      <c r="B10" t="inlineStr">
        <is>
          <t>Extintores — validade e recarga</t>
        </is>
      </c>
      <c r="C10" s="14" t="n">
        <v>45778</v>
      </c>
      <c r="D10" s="14" t="n">
        <v>45789</v>
      </c>
      <c r="E10" s="13">
        <f>IF(OR(C10="",D10=""),"",D10-C10)</f>
        <v/>
      </c>
      <c r="F10" s="11" t="inlineStr">
        <is>
          <t>OK</t>
        </is>
      </c>
      <c r="G10" t="inlineStr">
        <is>
          <t>CIPA</t>
        </is>
      </c>
      <c r="H10" t="inlineStr">
        <is>
          <t>Rev. nov/25</t>
        </is>
      </c>
    </row>
    <row r="11">
      <c r="A11" t="inlineStr">
        <is>
          <t>Circulação</t>
        </is>
      </c>
      <c r="B11" t="inlineStr">
        <is>
          <t>Corredores — lâmpadas e sensores</t>
        </is>
      </c>
      <c r="C11" s="14" t="n">
        <v>45778</v>
      </c>
      <c r="D11" s="14" t="n">
        <v>45796</v>
      </c>
      <c r="E11" s="13">
        <f>IF(OR(C11="",D11=""),"",D11-C11)</f>
        <v/>
      </c>
      <c r="F11" s="11" t="inlineStr">
        <is>
          <t>Atenção</t>
        </is>
      </c>
      <c r="G11" t="inlineStr">
        <is>
          <t>Elétrica</t>
        </is>
      </c>
      <c r="H11" t="inlineStr">
        <is>
          <t>3 sensores p/ troca</t>
        </is>
      </c>
    </row>
  </sheetData>
  <mergeCells count="2">
    <mergeCell ref="A1:I1"/>
    <mergeCell ref="A2:I2"/>
  </mergeCells>
  <dataValidations count="2">
    <dataValidation sqref="I4:I11" showDropDown="0" showInputMessage="1" showErrorMessage="1" allowBlank="1" type="list">
      <formula1>"SIM"</formula1>
    </dataValidation>
    <dataValidation sqref="F4:F11" showDropDown="0" showInputMessage="1" showErrorMessage="1" allowBlank="1" type="list">
      <formula1>"Em Andamento, Pendente,Não Iniciado,Concluído"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Mateus Nunes Da Cunha Monteiro</dc:creator>
  <dcterms:created xsi:type="dcterms:W3CDTF">2026-05-29T21:14:11Z</dcterms:created>
  <dcterms:modified xsi:type="dcterms:W3CDTF">2026-05-29T23:35:37Z</dcterms:modified>
  <cp:lastModifiedBy>Mateus Nunes Da Cunha Monteiro</cp:lastModifiedBy>
</cp:coreProperties>
</file>